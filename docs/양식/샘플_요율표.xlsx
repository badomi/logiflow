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165FD3F7-71DD-4EFF-918C-A0241FB8D328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OceanFreight" sheetId="1" r:id="rId1"/>
    <sheet name="Surcharges" sheetId="2" r:id="rId2"/>
    <sheet name="조회예시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5" i="3" l="1"/>
  <c r="B26" i="3"/>
  <c r="B27" i="3"/>
  <c r="B28" i="3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B20" i="3"/>
</calcChain>
</file>

<file path=xl/sharedStrings.xml><?xml version="1.0" encoding="utf-8"?>
<sst xmlns="http://schemas.openxmlformats.org/spreadsheetml/2006/main" count="444" uniqueCount="126">
  <si>
    <t>rate_id</t>
  </si>
  <si>
    <t>pol</t>
  </si>
  <si>
    <t>pol_name</t>
  </si>
  <si>
    <t>pod</t>
  </si>
  <si>
    <t>pod_name</t>
  </si>
  <si>
    <t>container_type</t>
  </si>
  <si>
    <t>carrier</t>
  </si>
  <si>
    <t>currency</t>
  </si>
  <si>
    <t>amount</t>
  </si>
  <si>
    <t>valid_from</t>
  </si>
  <si>
    <t>valid_to</t>
  </si>
  <si>
    <t>remark</t>
  </si>
  <si>
    <t>CNSHA</t>
  </si>
  <si>
    <t>Shanghai</t>
  </si>
  <si>
    <t>KRPUS</t>
  </si>
  <si>
    <t>Busan</t>
  </si>
  <si>
    <t>20GP</t>
  </si>
  <si>
    <t>HMM</t>
  </si>
  <si>
    <t>USD</t>
  </si>
  <si>
    <t>2026-10-01</t>
  </si>
  <si>
    <t>2026-10-15</t>
  </si>
  <si>
    <t>40GP</t>
  </si>
  <si>
    <t>40HQ</t>
  </si>
  <si>
    <t>SITC</t>
  </si>
  <si>
    <r>
      <rPr>
        <sz val="10"/>
        <rFont val="Noto Sans CJK SC"/>
        <family val="2"/>
      </rPr>
      <t>조건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선사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별 상이 → 선사 미지정 시 최저가 선택 규칙 예시</t>
    </r>
  </si>
  <si>
    <t>2026-10-16</t>
  </si>
  <si>
    <t>2026-10-31</t>
  </si>
  <si>
    <r>
      <rPr>
        <sz val="10"/>
        <rFont val="Arial"/>
        <family val="2"/>
      </rPr>
      <t xml:space="preserve">GRI </t>
    </r>
    <r>
      <rPr>
        <sz val="10"/>
        <rFont val="Noto Sans CJK SC"/>
        <family val="2"/>
      </rPr>
      <t xml:space="preserve">인상 → </t>
    </r>
    <r>
      <rPr>
        <sz val="10"/>
        <rFont val="Arial"/>
        <family val="2"/>
      </rPr>
      <t>'</t>
    </r>
    <r>
      <rPr>
        <sz val="10"/>
        <rFont val="Noto Sans CJK SC"/>
        <family val="2"/>
      </rPr>
      <t>날짜 변동</t>
    </r>
    <r>
      <rPr>
        <sz val="10"/>
        <rFont val="Arial"/>
        <family val="2"/>
      </rPr>
      <t>'</t>
    </r>
    <r>
      <rPr>
        <sz val="10"/>
        <rFont val="Noto Sans CJK SC"/>
        <family val="2"/>
      </rPr>
      <t>은 유효기간 새 행으로 처리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이전 행 보존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</si>
  <si>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 xml:space="preserve">GRI </t>
    </r>
    <r>
      <rPr>
        <sz val="10"/>
        <rFont val="Noto Sans CJK SC"/>
        <family val="2"/>
      </rPr>
      <t>인상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후반기</t>
    </r>
    <r>
      <rPr>
        <sz val="10"/>
        <rFont val="Arial"/>
        <family val="2"/>
      </rPr>
      <t>)</t>
    </r>
  </si>
  <si>
    <t>CNNGB</t>
  </si>
  <si>
    <t>Ningbo</t>
  </si>
  <si>
    <t>ANY</t>
  </si>
  <si>
    <t>KRINC</t>
  </si>
  <si>
    <t>Incheon</t>
  </si>
  <si>
    <t>VNHPH</t>
  </si>
  <si>
    <t>Haiphong</t>
  </si>
  <si>
    <t>VNSGN</t>
  </si>
  <si>
    <t>Ho Chi Minh</t>
  </si>
  <si>
    <t>THBKK</t>
  </si>
  <si>
    <t>Bangkok</t>
  </si>
  <si>
    <r>
      <rPr>
        <i/>
        <sz val="10"/>
        <color rgb="FF555555"/>
        <rFont val="Arial"/>
        <family val="2"/>
      </rPr>
      <t>basis(</t>
    </r>
    <r>
      <rPr>
        <i/>
        <sz val="10"/>
        <color rgb="FF555555"/>
        <rFont val="Noto Sans CJK SC"/>
        <family val="2"/>
      </rPr>
      <t>부과 기준</t>
    </r>
    <r>
      <rPr>
        <i/>
        <sz val="10"/>
        <color rgb="FF555555"/>
        <rFont val="Arial"/>
        <family val="2"/>
      </rPr>
      <t>)</t>
    </r>
    <r>
      <rPr>
        <i/>
        <sz val="10"/>
        <color rgb="FF555555"/>
        <rFont val="Noto Sans CJK SC"/>
        <family val="2"/>
      </rPr>
      <t>에 따라 합산 방식이 다르다</t>
    </r>
    <r>
      <rPr>
        <i/>
        <sz val="10"/>
        <color rgb="FF555555"/>
        <rFont val="Arial"/>
        <family val="2"/>
      </rPr>
      <t>. PER_CONTAINER=</t>
    </r>
    <r>
      <rPr>
        <i/>
        <sz val="10"/>
        <color rgb="FF555555"/>
        <rFont val="Noto Sans CJK SC"/>
        <family val="2"/>
      </rPr>
      <t>컨테이너 수량만큼</t>
    </r>
    <r>
      <rPr>
        <i/>
        <sz val="10"/>
        <color rgb="FF555555"/>
        <rFont val="Arial"/>
        <family val="2"/>
      </rPr>
      <t>, PER_BL=</t>
    </r>
    <r>
      <rPr>
        <i/>
        <sz val="10"/>
        <color rgb="FF555555"/>
        <rFont val="Noto Sans CJK SC"/>
        <family val="2"/>
      </rPr>
      <t xml:space="preserve">건당 </t>
    </r>
    <r>
      <rPr>
        <i/>
        <sz val="10"/>
        <color rgb="FF555555"/>
        <rFont val="Arial"/>
        <family val="2"/>
      </rPr>
      <t>1</t>
    </r>
    <r>
      <rPr>
        <i/>
        <sz val="10"/>
        <color rgb="FF555555"/>
        <rFont val="Noto Sans CJK SC"/>
        <family val="2"/>
      </rPr>
      <t>회</t>
    </r>
    <r>
      <rPr>
        <i/>
        <sz val="10"/>
        <color rgb="FF555555"/>
        <rFont val="Arial"/>
        <family val="2"/>
      </rPr>
      <t>, PER_SHIPMENT=</t>
    </r>
    <r>
      <rPr>
        <i/>
        <sz val="10"/>
        <color rgb="FF555555"/>
        <rFont val="Noto Sans CJK SC"/>
        <family val="2"/>
      </rPr>
      <t xml:space="preserve">선적 </t>
    </r>
    <r>
      <rPr>
        <i/>
        <sz val="10"/>
        <color rgb="FF555555"/>
        <rFont val="Arial"/>
        <family val="2"/>
      </rPr>
      <t>1</t>
    </r>
    <r>
      <rPr>
        <i/>
        <sz val="10"/>
        <color rgb="FF555555"/>
        <rFont val="Noto Sans CJK SC"/>
        <family val="2"/>
      </rPr>
      <t>회</t>
    </r>
    <r>
      <rPr>
        <i/>
        <sz val="10"/>
        <color rgb="FF555555"/>
        <rFont val="Arial"/>
        <family val="2"/>
      </rPr>
      <t>. incoterms_condition</t>
    </r>
    <r>
      <rPr>
        <i/>
        <sz val="10"/>
        <color rgb="FF555555"/>
        <rFont val="Noto Sans CJK SC"/>
        <family val="2"/>
      </rPr>
      <t>이 있으면 그 조건에만 부과</t>
    </r>
    <r>
      <rPr>
        <i/>
        <sz val="10"/>
        <color rgb="FF555555"/>
        <rFont val="Arial"/>
        <family val="2"/>
      </rPr>
      <t>(</t>
    </r>
    <r>
      <rPr>
        <i/>
        <sz val="10"/>
        <color rgb="FF555555"/>
        <rFont val="Noto Sans CJK SC"/>
        <family val="2"/>
      </rPr>
      <t>예</t>
    </r>
    <r>
      <rPr>
        <i/>
        <sz val="10"/>
        <color rgb="FF555555"/>
        <rFont val="Arial"/>
        <family val="2"/>
      </rPr>
      <t xml:space="preserve">: </t>
    </r>
    <r>
      <rPr>
        <i/>
        <sz val="10"/>
        <color rgb="FF555555"/>
        <rFont val="Noto Sans CJK SC"/>
        <family val="2"/>
      </rPr>
      <t xml:space="preserve">보험은 </t>
    </r>
    <r>
      <rPr>
        <i/>
        <sz val="10"/>
        <color rgb="FF555555"/>
        <rFont val="Arial"/>
        <family val="2"/>
      </rPr>
      <t>CIF).</t>
    </r>
  </si>
  <si>
    <t>charge_code</t>
  </si>
  <si>
    <t>charge_name</t>
  </si>
  <si>
    <t>basis</t>
  </si>
  <si>
    <t>direction</t>
  </si>
  <si>
    <t>applies_pol</t>
  </si>
  <si>
    <t>applies_pod</t>
  </si>
  <si>
    <t>incoterms_condition</t>
  </si>
  <si>
    <t>rate_pct</t>
  </si>
  <si>
    <t>min_amount</t>
  </si>
  <si>
    <t>OTHC</t>
  </si>
  <si>
    <t>Origin THC</t>
  </si>
  <si>
    <t>PER_CONTAINER</t>
  </si>
  <si>
    <t>ORIGIN</t>
  </si>
  <si>
    <t>ALL</t>
  </si>
  <si>
    <t>DTHC</t>
  </si>
  <si>
    <t>Destination THC</t>
  </si>
  <si>
    <t>DEST</t>
  </si>
  <si>
    <t>DOC</t>
  </si>
  <si>
    <t>Documentation Fee</t>
  </si>
  <si>
    <t>PER_BL</t>
  </si>
  <si>
    <t>-</t>
  </si>
  <si>
    <r>
      <rPr>
        <sz val="10"/>
        <rFont val="Noto Sans CJK SC"/>
        <family val="2"/>
      </rPr>
      <t xml:space="preserve">건당 </t>
    </r>
    <r>
      <rPr>
        <sz val="10"/>
        <rFont val="Arial"/>
        <family val="2"/>
      </rPr>
      <t>1</t>
    </r>
    <r>
      <rPr>
        <sz val="10"/>
        <rFont val="Noto Sans CJK SC"/>
        <family val="2"/>
      </rPr>
      <t>회</t>
    </r>
  </si>
  <si>
    <t>BL</t>
  </si>
  <si>
    <t>B/L Fee</t>
  </si>
  <si>
    <t>HANDLING</t>
  </si>
  <si>
    <t>Handling Charge</t>
  </si>
  <si>
    <t>기타 취급료</t>
  </si>
  <si>
    <t>INS</t>
  </si>
  <si>
    <t>Cargo Insurance</t>
  </si>
  <si>
    <t>PERCENT_OF_VALUE</t>
  </si>
  <si>
    <t>CIF</t>
  </si>
  <si>
    <r>
      <rPr>
        <sz val="10"/>
        <rFont val="Arial"/>
        <family val="2"/>
      </rPr>
      <t>CIF</t>
    </r>
    <r>
      <rPr>
        <sz val="10"/>
        <rFont val="Noto Sans CJK SC"/>
        <family val="2"/>
      </rPr>
      <t xml:space="preserve">에만 적용 </t>
    </r>
    <r>
      <rPr>
        <sz val="10"/>
        <rFont val="Arial"/>
        <family val="2"/>
      </rPr>
      <t xml:space="preserve">· invoice value×0.2%, </t>
    </r>
    <r>
      <rPr>
        <sz val="10"/>
        <rFont val="Noto Sans CJK SC"/>
        <family val="2"/>
      </rPr>
      <t xml:space="preserve">최저 </t>
    </r>
    <r>
      <rPr>
        <sz val="10"/>
        <rFont val="Arial"/>
        <family val="2"/>
      </rPr>
      <t>USD 30</t>
    </r>
  </si>
  <si>
    <t>BAF</t>
  </si>
  <si>
    <t>Bunker Surcharge</t>
  </si>
  <si>
    <r>
      <rPr>
        <sz val="10"/>
        <rFont val="Noto Sans CJK SC"/>
        <family val="2"/>
      </rPr>
      <t>레인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기간별 변동 할증 예시</t>
    </r>
  </si>
  <si>
    <t>입력 조건</t>
  </si>
  <si>
    <t>POL → POD</t>
  </si>
  <si>
    <t>CNSHA(Shanghai) → KRPUS(Busan)</t>
  </si>
  <si>
    <t>컨테이너</t>
  </si>
  <si>
    <t>20GP × 1</t>
  </si>
  <si>
    <t>선사</t>
  </si>
  <si>
    <r>
      <rPr>
        <sz val="10"/>
        <rFont val="Arial"/>
        <family val="2"/>
      </rPr>
      <t>HMM (</t>
    </r>
    <r>
      <rPr>
        <sz val="10"/>
        <rFont val="Noto Sans CJK SC"/>
        <family val="2"/>
      </rPr>
      <t>미지정 시 최저가 규칙 적용</t>
    </r>
    <r>
      <rPr>
        <sz val="10"/>
        <rFont val="Arial"/>
        <family val="2"/>
      </rPr>
      <t>)</t>
    </r>
  </si>
  <si>
    <t>INCOTERMS</t>
  </si>
  <si>
    <r>
      <rPr>
        <sz val="10"/>
        <rFont val="Noto Sans CJK SC"/>
        <family val="2"/>
      </rPr>
      <t>선적일</t>
    </r>
    <r>
      <rPr>
        <sz val="10"/>
        <rFont val="Arial"/>
        <family val="2"/>
      </rPr>
      <t>(cargoReadyDate)</t>
    </r>
  </si>
  <si>
    <t>2026-10-05</t>
  </si>
  <si>
    <r>
      <rPr>
        <sz val="10"/>
        <rFont val="Noto Sans CJK SC"/>
        <family val="2"/>
      </rPr>
      <t>화물가액</t>
    </r>
    <r>
      <rPr>
        <sz val="10"/>
        <rFont val="Arial"/>
        <family val="2"/>
      </rPr>
      <t>(invoice value)</t>
    </r>
  </si>
  <si>
    <t>USD 15,000</t>
  </si>
  <si>
    <t>항목</t>
  </si>
  <si>
    <r>
      <rPr>
        <b/>
        <sz val="10"/>
        <color rgb="FFFFFFFF"/>
        <rFont val="Noto Sans CJK SC"/>
        <family val="2"/>
      </rPr>
      <t>금액</t>
    </r>
    <r>
      <rPr>
        <b/>
        <sz val="10"/>
        <color rgb="FFFFFFFF"/>
        <rFont val="Arial"/>
        <family val="2"/>
      </rPr>
      <t>(USD)</t>
    </r>
  </si>
  <si>
    <r>
      <rPr>
        <b/>
        <sz val="10"/>
        <color rgb="FFFFFFFF"/>
        <rFont val="Noto Sans CJK SC"/>
        <family val="2"/>
      </rPr>
      <t>산출 근거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  <family val="2"/>
      </rPr>
      <t>어느 표</t>
    </r>
    <r>
      <rPr>
        <b/>
        <sz val="10"/>
        <color rgb="FFFFFFFF"/>
        <rFont val="Arial"/>
        <family val="2"/>
      </rPr>
      <t>/</t>
    </r>
    <r>
      <rPr>
        <b/>
        <sz val="10"/>
        <color rgb="FFFFFFFF"/>
        <rFont val="Noto Sans CJK SC"/>
        <family val="2"/>
      </rPr>
      <t>행</t>
    </r>
    <r>
      <rPr>
        <b/>
        <sz val="10"/>
        <color rgb="FFFFFFFF"/>
        <rFont val="Arial"/>
        <family val="2"/>
      </rPr>
      <t>)</t>
    </r>
  </si>
  <si>
    <t>Ocean Freight</t>
  </si>
  <si>
    <r>
      <rPr>
        <sz val="10"/>
        <rFont val="Arial"/>
        <family val="2"/>
      </rPr>
      <t xml:space="preserve">OceanFreight </t>
    </r>
    <r>
      <rPr>
        <sz val="10"/>
        <rFont val="Noto Sans CJK SC"/>
        <family val="2"/>
      </rPr>
      <t>행</t>
    </r>
    <r>
      <rPr>
        <sz val="10"/>
        <rFont val="Arial"/>
        <family val="2"/>
      </rPr>
      <t xml:space="preserve">#1 (HMM·20GP·10/01~10/15, </t>
    </r>
    <r>
      <rPr>
        <sz val="10"/>
        <rFont val="Noto Sans CJK SC"/>
        <family val="2"/>
      </rPr>
      <t>선적일 포함</t>
    </r>
    <r>
      <rPr>
        <sz val="10"/>
        <rFont val="Arial"/>
        <family val="2"/>
      </rPr>
      <t>)</t>
    </r>
  </si>
  <si>
    <t>Surcharges OTHC · PER_CONTAINER · 20GP × 1</t>
  </si>
  <si>
    <t>Surcharges DTHC · PER_CONTAINER · 20GP × 1</t>
  </si>
  <si>
    <t>Surcharges DOC · PER_BL × 1</t>
  </si>
  <si>
    <t>Surcharges BL · PER_BL × 1</t>
  </si>
  <si>
    <t>Surcharges HANDLING · PER_BL × 1</t>
  </si>
  <si>
    <t>Surcharges BAF · CNSHA→KRPUS · 20GP × 1</t>
  </si>
  <si>
    <r>
      <rPr>
        <sz val="10"/>
        <rFont val="Arial"/>
        <family val="2"/>
      </rPr>
      <t xml:space="preserve">Surcharges INS · CIF </t>
    </r>
    <r>
      <rPr>
        <sz val="10"/>
        <rFont val="Noto Sans CJK SC"/>
        <family val="2"/>
      </rPr>
      <t xml:space="preserve">조건 </t>
    </r>
    <r>
      <rPr>
        <sz val="10"/>
        <rFont val="Arial"/>
        <family val="2"/>
      </rPr>
      <t>· 15,000×0.2%=30 (</t>
    </r>
    <r>
      <rPr>
        <sz val="10"/>
        <rFont val="Noto Sans CJK SC"/>
        <family val="2"/>
      </rPr>
      <t xml:space="preserve">최저 </t>
    </r>
    <r>
      <rPr>
        <sz val="10"/>
        <rFont val="Arial"/>
        <family val="2"/>
      </rPr>
      <t>30)</t>
    </r>
  </si>
  <si>
    <t>TOTAL (CIF BUSAN)</t>
  </si>
  <si>
    <r>
      <rPr>
        <i/>
        <sz val="10"/>
        <color rgb="FF555555"/>
        <rFont val="Noto Sans CJK SC"/>
        <family val="2"/>
      </rPr>
      <t>※ 값은 위 두 표에서 조회</t>
    </r>
    <r>
      <rPr>
        <i/>
        <sz val="10"/>
        <color rgb="FF555555"/>
        <rFont val="Arial"/>
        <family val="2"/>
      </rPr>
      <t>·</t>
    </r>
    <r>
      <rPr>
        <i/>
        <sz val="10"/>
        <color rgb="FF555555"/>
        <rFont val="Noto Sans CJK SC"/>
        <family val="2"/>
      </rPr>
      <t>합산한 설명용 예시이며</t>
    </r>
    <r>
      <rPr>
        <i/>
        <sz val="10"/>
        <color rgb="FF555555"/>
        <rFont val="Arial"/>
        <family val="2"/>
      </rPr>
      <t xml:space="preserve">, </t>
    </r>
    <r>
      <rPr>
        <i/>
        <sz val="10"/>
        <color rgb="FF555555"/>
        <rFont val="Noto Sans CJK SC"/>
        <family val="2"/>
      </rPr>
      <t>환율</t>
    </r>
    <r>
      <rPr>
        <i/>
        <sz val="10"/>
        <color rgb="FF555555"/>
        <rFont val="Arial"/>
        <family val="2"/>
      </rPr>
      <t>·</t>
    </r>
    <r>
      <rPr>
        <i/>
        <sz val="10"/>
        <color rgb="FF555555"/>
        <rFont val="Noto Sans CJK SC"/>
        <family val="2"/>
      </rPr>
      <t>유효기간 변동에 따라 달라질 수 있다</t>
    </r>
    <r>
      <rPr>
        <i/>
        <sz val="10"/>
        <color rgb="FF555555"/>
        <rFont val="Arial"/>
        <family val="2"/>
      </rPr>
      <t>(FR-508).</t>
    </r>
  </si>
  <si>
    <r>
      <rPr>
        <i/>
        <sz val="10"/>
        <color rgb="FF555555"/>
        <rFont val="맑은 고딕"/>
        <family val="3"/>
        <charset val="129"/>
      </rPr>
      <t>한</t>
    </r>
    <r>
      <rPr>
        <i/>
        <sz val="10"/>
        <color rgb="FF555555"/>
        <rFont val="Arial"/>
        <family val="2"/>
      </rPr>
      <t xml:space="preserve"> </t>
    </r>
    <r>
      <rPr>
        <i/>
        <sz val="10"/>
        <color rgb="FF555555"/>
        <rFont val="맑은 고딕"/>
        <family val="3"/>
        <charset val="129"/>
      </rPr>
      <t>행</t>
    </r>
    <r>
      <rPr>
        <i/>
        <sz val="10"/>
        <color rgb="FF555555"/>
        <rFont val="Arial"/>
        <family val="2"/>
      </rPr>
      <t xml:space="preserve"> = </t>
    </r>
    <r>
      <rPr>
        <i/>
        <sz val="10"/>
        <color rgb="FF555555"/>
        <rFont val="맑은 고딕"/>
        <family val="3"/>
        <charset val="129"/>
      </rPr>
      <t>특정</t>
    </r>
    <r>
      <rPr>
        <i/>
        <sz val="10"/>
        <color rgb="FF555555"/>
        <rFont val="Arial"/>
        <family val="2"/>
      </rPr>
      <t xml:space="preserve"> </t>
    </r>
    <r>
      <rPr>
        <i/>
        <sz val="10"/>
        <color rgb="FF555555"/>
        <rFont val="맑은 고딕"/>
        <family val="3"/>
        <charset val="129"/>
      </rPr>
      <t>레인</t>
    </r>
    <r>
      <rPr>
        <i/>
        <sz val="10"/>
        <color rgb="FF555555"/>
        <rFont val="Arial"/>
        <family val="2"/>
      </rPr>
      <t>·</t>
    </r>
    <r>
      <rPr>
        <i/>
        <sz val="10"/>
        <color rgb="FF555555"/>
        <rFont val="맑은 고딕"/>
        <family val="3"/>
        <charset val="129"/>
      </rPr>
      <t>컨테이너</t>
    </r>
    <r>
      <rPr>
        <i/>
        <sz val="10"/>
        <color rgb="FF555555"/>
        <rFont val="Arial"/>
        <family val="2"/>
      </rPr>
      <t>·</t>
    </r>
    <r>
      <rPr>
        <i/>
        <sz val="10"/>
        <color rgb="FF555555"/>
        <rFont val="맑은 고딕"/>
        <family val="3"/>
        <charset val="129"/>
      </rPr>
      <t>선사</t>
    </r>
    <r>
      <rPr>
        <i/>
        <sz val="10"/>
        <color rgb="FF555555"/>
        <rFont val="Arial"/>
        <family val="2"/>
      </rPr>
      <t>·</t>
    </r>
    <r>
      <rPr>
        <i/>
        <sz val="10"/>
        <color rgb="FF555555"/>
        <rFont val="맑은 고딕"/>
        <family val="3"/>
        <charset val="129"/>
      </rPr>
      <t>유효기간에</t>
    </r>
    <r>
      <rPr>
        <i/>
        <sz val="10"/>
        <color rgb="FF555555"/>
        <rFont val="Arial"/>
        <family val="2"/>
      </rPr>
      <t xml:space="preserve"> </t>
    </r>
    <r>
      <rPr>
        <i/>
        <sz val="10"/>
        <color rgb="FF555555"/>
        <rFont val="맑은 고딕"/>
        <family val="3"/>
        <charset val="129"/>
      </rPr>
      <t>대한</t>
    </r>
    <r>
      <rPr>
        <i/>
        <sz val="10"/>
        <color rgb="FF555555"/>
        <rFont val="Arial"/>
        <family val="2"/>
      </rPr>
      <t xml:space="preserve"> </t>
    </r>
    <r>
      <rPr>
        <i/>
        <sz val="10"/>
        <color rgb="FF555555"/>
        <rFont val="맑은 고딕"/>
        <family val="3"/>
        <charset val="129"/>
      </rPr>
      <t>하나의</t>
    </r>
    <r>
      <rPr>
        <i/>
        <sz val="10"/>
        <color rgb="FF555555"/>
        <rFont val="Arial"/>
        <family val="2"/>
      </rPr>
      <t xml:space="preserve"> </t>
    </r>
    <r>
      <rPr>
        <i/>
        <sz val="10"/>
        <color rgb="FF555555"/>
        <rFont val="맑은 고딕"/>
        <family val="3"/>
        <charset val="129"/>
      </rPr>
      <t>요율</t>
    </r>
    <r>
      <rPr>
        <i/>
        <sz val="10"/>
        <color rgb="FF555555"/>
        <rFont val="Arial"/>
        <family val="2"/>
      </rPr>
      <t xml:space="preserve">. </t>
    </r>
    <r>
      <rPr>
        <i/>
        <sz val="10"/>
        <color rgb="FF555555"/>
        <rFont val="맑은 고딕"/>
        <family val="3"/>
        <charset val="129"/>
      </rPr>
      <t>시스템은</t>
    </r>
    <r>
      <rPr>
        <i/>
        <sz val="10"/>
        <color rgb="FF555555"/>
        <rFont val="Arial"/>
        <family val="2"/>
      </rPr>
      <t xml:space="preserve"> POL·POD·</t>
    </r>
    <r>
      <rPr>
        <i/>
        <sz val="10"/>
        <color rgb="FF555555"/>
        <rFont val="맑은 고딕"/>
        <family val="3"/>
        <charset val="129"/>
      </rPr>
      <t>컨테이너타입</t>
    </r>
    <r>
      <rPr>
        <i/>
        <sz val="10"/>
        <color rgb="FF555555"/>
        <rFont val="Arial"/>
        <family val="2"/>
      </rPr>
      <t>·</t>
    </r>
    <r>
      <rPr>
        <i/>
        <sz val="10"/>
        <color rgb="FF555555"/>
        <rFont val="맑은 고딕"/>
        <family val="3"/>
        <charset val="129"/>
      </rPr>
      <t>선적일</t>
    </r>
    <r>
      <rPr>
        <i/>
        <sz val="10"/>
        <color rgb="FF555555"/>
        <rFont val="Arial"/>
        <family val="2"/>
      </rPr>
      <t>(+</t>
    </r>
    <r>
      <rPr>
        <i/>
        <sz val="10"/>
        <color rgb="FF555555"/>
        <rFont val="맑은 고딕"/>
        <family val="3"/>
        <charset val="129"/>
      </rPr>
      <t>선사</t>
    </r>
    <r>
      <rPr>
        <i/>
        <sz val="10"/>
        <color rgb="FF555555"/>
        <rFont val="Arial"/>
        <family val="2"/>
      </rPr>
      <t>)</t>
    </r>
    <r>
      <rPr>
        <i/>
        <sz val="10"/>
        <color rgb="FF555555"/>
        <rFont val="맑은 고딕"/>
        <family val="3"/>
        <charset val="129"/>
      </rPr>
      <t>로</t>
    </r>
    <r>
      <rPr>
        <i/>
        <sz val="10"/>
        <color rgb="FF555555"/>
        <rFont val="Arial"/>
        <family val="2"/>
      </rPr>
      <t xml:space="preserve"> </t>
    </r>
    <r>
      <rPr>
        <i/>
        <sz val="10"/>
        <color rgb="FF555555"/>
        <rFont val="맑은 고딕"/>
        <family val="3"/>
        <charset val="129"/>
      </rPr>
      <t>해당</t>
    </r>
    <r>
      <rPr>
        <i/>
        <sz val="10"/>
        <color rgb="FF555555"/>
        <rFont val="Arial"/>
        <family val="2"/>
      </rPr>
      <t xml:space="preserve"> </t>
    </r>
    <r>
      <rPr>
        <i/>
        <sz val="10"/>
        <color rgb="FF555555"/>
        <rFont val="맑은 고딕"/>
        <family val="3"/>
        <charset val="129"/>
      </rPr>
      <t>행을</t>
    </r>
    <r>
      <rPr>
        <i/>
        <sz val="10"/>
        <color rgb="FF555555"/>
        <rFont val="Arial"/>
        <family val="2"/>
      </rPr>
      <t xml:space="preserve"> </t>
    </r>
    <r>
      <rPr>
        <i/>
        <sz val="10"/>
        <color rgb="FF555555"/>
        <rFont val="맑은 고딕"/>
        <family val="3"/>
        <charset val="129"/>
      </rPr>
      <t>조회한다</t>
    </r>
    <r>
      <rPr>
        <i/>
        <sz val="10"/>
        <color rgb="FF555555"/>
        <rFont val="Arial"/>
        <family val="2"/>
      </rPr>
      <t>.</t>
    </r>
    <phoneticPr fontId="11" type="noConversion"/>
  </si>
  <si>
    <r>
      <rPr>
        <b/>
        <sz val="12"/>
        <color rgb="FF1F3A5F"/>
        <rFont val="맑은 고딕"/>
        <family val="3"/>
        <charset val="129"/>
      </rPr>
      <t>기본</t>
    </r>
    <r>
      <rPr>
        <b/>
        <sz val="12"/>
        <color rgb="FF1F3A5F"/>
        <rFont val="Arial"/>
        <family val="2"/>
      </rPr>
      <t xml:space="preserve"> </t>
    </r>
    <r>
      <rPr>
        <b/>
        <sz val="12"/>
        <color rgb="FF1F3A5F"/>
        <rFont val="맑은 고딕"/>
        <family val="3"/>
        <charset val="129"/>
      </rPr>
      <t>해상운임</t>
    </r>
    <r>
      <rPr>
        <b/>
        <sz val="12"/>
        <color rgb="FF1F3A5F"/>
        <rFont val="Arial"/>
        <family val="2"/>
      </rPr>
      <t xml:space="preserve"> (Ocean Freight) — </t>
    </r>
    <r>
      <rPr>
        <b/>
        <sz val="12"/>
        <color rgb="FF1F3A5F"/>
        <rFont val="맑은 고딕"/>
        <family val="3"/>
        <charset val="129"/>
      </rPr>
      <t>샘플</t>
    </r>
    <r>
      <rPr>
        <b/>
        <sz val="12"/>
        <color rgb="FF1F3A5F"/>
        <rFont val="Arial"/>
        <family val="2"/>
      </rPr>
      <t xml:space="preserve"> </t>
    </r>
    <r>
      <rPr>
        <b/>
        <sz val="12"/>
        <color rgb="FF1F3A5F"/>
        <rFont val="맑은 고딕"/>
        <family val="3"/>
        <charset val="129"/>
      </rPr>
      <t>요율</t>
    </r>
    <r>
      <rPr>
        <b/>
        <sz val="12"/>
        <color rgb="FF1F3A5F"/>
        <rFont val="Arial"/>
        <family val="2"/>
      </rPr>
      <t xml:space="preserve">  </t>
    </r>
    <phoneticPr fontId="11" type="noConversion"/>
  </si>
  <si>
    <r>
      <rPr>
        <b/>
        <sz val="12"/>
        <color rgb="FF1F3A5F"/>
        <rFont val="맑은 고딕"/>
        <family val="3"/>
        <charset val="129"/>
      </rPr>
      <t>요율</t>
    </r>
    <r>
      <rPr>
        <b/>
        <sz val="12"/>
        <color rgb="FF1F3A5F"/>
        <rFont val="Arial"/>
        <family val="2"/>
      </rPr>
      <t xml:space="preserve"> </t>
    </r>
    <r>
      <rPr>
        <b/>
        <sz val="12"/>
        <color rgb="FF1F3A5F"/>
        <rFont val="맑은 고딕"/>
        <family val="3"/>
        <charset val="129"/>
      </rPr>
      <t>조회</t>
    </r>
    <r>
      <rPr>
        <b/>
        <sz val="12"/>
        <color rgb="FF1F3A5F"/>
        <rFont val="Arial"/>
        <family val="2"/>
      </rPr>
      <t>·</t>
    </r>
    <r>
      <rPr>
        <b/>
        <sz val="12"/>
        <color rgb="FF1F3A5F"/>
        <rFont val="맑은 고딕"/>
        <family val="3"/>
        <charset val="129"/>
      </rPr>
      <t>합산</t>
    </r>
    <r>
      <rPr>
        <b/>
        <sz val="12"/>
        <color rgb="FF1F3A5F"/>
        <rFont val="Arial"/>
        <family val="2"/>
      </rPr>
      <t xml:space="preserve"> </t>
    </r>
    <r>
      <rPr>
        <b/>
        <sz val="12"/>
        <color rgb="FF1F3A5F"/>
        <rFont val="맑은 고딕"/>
        <family val="3"/>
        <charset val="129"/>
      </rPr>
      <t>예시</t>
    </r>
    <phoneticPr fontId="11" type="noConversion"/>
  </si>
  <si>
    <t>\</t>
    <phoneticPr fontId="11" type="noConversion"/>
  </si>
  <si>
    <r>
      <rPr>
        <b/>
        <sz val="12"/>
        <color rgb="FF1F3A5F"/>
        <rFont val="맑은 고딕"/>
        <family val="3"/>
        <charset val="129"/>
      </rPr>
      <t>부대비용</t>
    </r>
    <r>
      <rPr>
        <b/>
        <sz val="12"/>
        <color rgb="FF1F3A5F"/>
        <rFont val="Arial"/>
        <family val="2"/>
      </rPr>
      <t xml:space="preserve"> (Surcharges / Local Charges) — </t>
    </r>
    <r>
      <rPr>
        <b/>
        <sz val="12"/>
        <color rgb="FF1F3A5F"/>
        <rFont val="맑은 고딕"/>
        <family val="2"/>
        <charset val="129"/>
      </rPr>
      <t>예시</t>
    </r>
    <phoneticPr fontId="11" type="noConversion"/>
  </si>
  <si>
    <t>etd</t>
  </si>
  <si>
    <t>transit_days</t>
  </si>
  <si>
    <t>eta</t>
  </si>
  <si>
    <t>free_time_dem</t>
  </si>
  <si>
    <t>free_time_det</t>
  </si>
  <si>
    <t>2026-10-06</t>
  </si>
  <si>
    <t>2026-10-07</t>
  </si>
  <si>
    <t>2026-10-20</t>
  </si>
  <si>
    <t>스케줄 · Free Time</t>
  </si>
  <si>
    <t>값</t>
  </si>
  <si>
    <t>산출 근거</t>
  </si>
  <si>
    <t>ETD</t>
  </si>
  <si>
    <t>OceanFreight 행#1 etd</t>
  </si>
  <si>
    <t>ETA</t>
  </si>
  <si>
    <t>ETD + transit_days(=OceanFreight!M5)</t>
  </si>
  <si>
    <t>Free Time (DEM)</t>
  </si>
  <si>
    <t>OceanFreight 행#1 free_time_dem</t>
  </si>
  <si>
    <t>Free Time (DET)</t>
  </si>
  <si>
    <t>OceanFreight 행#1 free_time_det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</si>
</sst>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20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2"/>
      <color rgb="FF1F3A5F"/>
      <name val="Arial"/>
      <family val="2"/>
    </font>
    <font>
      <i/>
      <sz val="10"/>
      <color rgb="FF555555"/>
      <name val="Noto Sans CJK SC"/>
      <family val="2"/>
    </font>
    <font>
      <i/>
      <sz val="10"/>
      <color rgb="FF555555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sz val="10"/>
      <name val="Noto Sans CJK SC"/>
      <family val="2"/>
    </font>
    <font>
      <b/>
      <sz val="10"/>
      <name val="Noto Sans CJK SC"/>
      <family val="2"/>
    </font>
    <font>
      <b/>
      <sz val="10"/>
      <color rgb="FFFFFFFF"/>
      <name val="Noto Sans CJK SC"/>
      <family val="2"/>
    </font>
    <font>
      <b/>
      <sz val="10"/>
      <name val="Arial"/>
      <family val="2"/>
    </font>
    <font>
      <sz val="8"/>
      <name val="돋움"/>
      <family val="3"/>
      <charset val="129"/>
    </font>
    <font>
      <i/>
      <sz val="10"/>
      <color rgb="FF555555"/>
      <name val="맑은 고딕"/>
      <family val="3"/>
      <charset val="129"/>
    </font>
    <font>
      <i/>
      <sz val="10"/>
      <color rgb="FF555555"/>
      <name val="Noto Sans CJK SC"/>
      <family val="3"/>
      <charset val="129"/>
    </font>
    <font>
      <b/>
      <sz val="12"/>
      <color rgb="FF1F3A5F"/>
      <name val="맑은 고딕"/>
      <family val="2"/>
      <charset val="129"/>
    </font>
    <font>
      <b/>
      <sz val="12"/>
      <color rgb="FF1F3A5F"/>
      <name val="맑은 고딕"/>
      <family val="3"/>
      <charset val="129"/>
    </font>
    <font>
      <b/>
      <sz val="12"/>
      <color rgb="FF1F3A5F"/>
      <name val="Noto Sans CJK SC"/>
      <family val="3"/>
      <charset val="129"/>
    </font>
    <font>
      <sz val="10"/>
      <color rgb="FF0000FF"/>
      <name val="Arial"/>
      <family val="2"/>
    </font>
    <font>
      <sz val="10"/>
      <color rgb="FF000000"/>
      <name val="Arial"/>
      <family val="2"/>
    </font>
    <font>
      <sz val="10"/>
      <color rgb="FF008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DCE6F1"/>
        <bgColor rgb="FFEEF2F7"/>
      </patternFill>
    </fill>
  </fills>
  <borders count="2">
    <border>
      <left/>
      <right/>
      <top/>
      <bottom/>
      <diagonal/>
    </border>
    <border>
      <left style="thin">
        <color rgb="FFC9D3DF"/>
      </left>
      <right style="thin">
        <color rgb="FFC9D3DF"/>
      </right>
      <top style="thin">
        <color rgb="FFC9D3DF"/>
      </top>
      <bottom style="thin">
        <color rgb="FFC9D3D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4" fillId="0" borderId="0" xfId="0" applyFont="1"/>
    <xf numFmtId="176" fontId="6" fillId="0" borderId="1" xfId="0" applyNumberFormat="1" applyFont="1" applyBorder="1" applyAlignment="1">
      <alignment vertical="center"/>
    </xf>
    <xf numFmtId="0" fontId="8" fillId="0" borderId="0" xfId="0" applyFont="1"/>
    <xf numFmtId="0" fontId="6" fillId="0" borderId="0" xfId="0" applyFont="1"/>
    <xf numFmtId="0" fontId="7" fillId="0" borderId="0" xfId="0" applyFont="1"/>
    <xf numFmtId="0" fontId="9" fillId="2" borderId="1" xfId="0" applyFont="1" applyFill="1" applyBorder="1" applyAlignment="1">
      <alignment horizontal="center" vertical="center"/>
    </xf>
    <xf numFmtId="3" fontId="6" fillId="0" borderId="1" xfId="0" applyNumberFormat="1" applyFont="1" applyBorder="1" applyAlignment="1">
      <alignment vertical="center"/>
    </xf>
    <xf numFmtId="0" fontId="10" fillId="0" borderId="1" xfId="0" applyFont="1" applyBorder="1"/>
    <xf numFmtId="3" fontId="10" fillId="3" borderId="1" xfId="0" applyNumberFormat="1" applyFont="1" applyFill="1" applyBorder="1"/>
    <xf numFmtId="0" fontId="0" fillId="0" borderId="1" xfId="0" applyBorder="1"/>
    <xf numFmtId="0" fontId="13" fillId="0" borderId="0" xfId="0" applyFont="1"/>
    <xf numFmtId="0" fontId="16" fillId="0" borderId="0" xfId="0" applyFont="1"/>
    <xf numFmtId="0" fontId="1" fillId="0" borderId="1" xfId="0" applyFont="1" applyBorder="1" applyAlignment="1">
      <alignment vertical="center"/>
    </xf>
    <xf numFmtId="0" fontId="17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49" fontId="17" fillId="0" borderId="1" xfId="0" applyNumberFormat="1" applyFont="1" applyBorder="1" applyAlignment="1">
      <alignment vertical="center"/>
    </xf>
    <xf numFmtId="0" fontId="19" fillId="0" borderId="1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F2F7"/>
      <rgbColor rgb="FFDCE6F1"/>
      <rgbColor rgb="FF660066"/>
      <rgbColor rgb="FFFF8080"/>
      <rgbColor rgb="FF0066CC"/>
      <rgbColor rgb="FFC9D3D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222222"/>
      <rgbColor rgb="FF993300"/>
      <rgbColor rgb="FF993366"/>
      <rgbColor rgb="FF2E5C8A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362C343-BDC7-498C-8F8E-4AEE78097F4F}">
  <we:reference id="wa200010725" version="1.0.0.1" store="ko-KR" storeType="OMEX"/>
  <we:alternateReferences>
    <we:reference id="WA200010725" version="1.0.0.1" store="" storeType="OMEX"/>
  </we:alternateReferences>
  <we:properties>
    <we:property name="claude.fileId" value="&quot;a21a9dfd-c23b-4ca8-85ae-c131b6e13a44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6"/>
  <sheetViews>
    <sheetView showGridLines="0" tabSelected="1" zoomScaleNormal="100" workbookViewId="0">
      <pane ySplit="4" topLeftCell="A8" activePane="bottomLeft" state="frozen"/>
      <selection pane="bottomLeft" activeCell="H13" sqref="H13"/>
    </sheetView>
  </sheetViews>
  <sheetFormatPr defaultColWidth="8.7109375" defaultRowHeight="15"/>
  <cols>
    <col min="1" max="1" width="8" customWidth="1"/>
    <col min="2" max="2" width="9" customWidth="1"/>
    <col min="3" max="3" width="11" customWidth="1"/>
    <col min="4" max="5" width="9" customWidth="1"/>
    <col min="6" max="6" width="14" customWidth="1"/>
    <col min="7" max="8" width="9" customWidth="1"/>
    <col min="9" max="9" width="10" customWidth="1"/>
    <col min="10" max="11" width="12" customWidth="1"/>
    <col min="12" max="16" width="13.7109375" customWidth="1"/>
    <col min="17" max="17" width="34" customWidth="1"/>
  </cols>
  <sheetData>
    <row r="1" spans="1:17" ht="17.25">
      <c r="A1" s="17" t="s">
        <v>103</v>
      </c>
    </row>
    <row r="2" spans="1:17">
      <c r="A2" s="16" t="s">
        <v>102</v>
      </c>
    </row>
    <row r="4" spans="1:17" ht="30" customHeight="1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1" t="s">
        <v>107</v>
      </c>
      <c r="M4" s="21" t="s">
        <v>108</v>
      </c>
      <c r="N4" s="21" t="s">
        <v>109</v>
      </c>
      <c r="O4" s="21" t="s">
        <v>110</v>
      </c>
      <c r="P4" s="21" t="s">
        <v>111</v>
      </c>
      <c r="Q4" s="2" t="s">
        <v>11</v>
      </c>
    </row>
    <row r="5" spans="1:17">
      <c r="A5" s="3">
        <v>1</v>
      </c>
      <c r="B5" s="3" t="s">
        <v>12</v>
      </c>
      <c r="C5" s="3" t="s">
        <v>13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>
        <v>450</v>
      </c>
      <c r="J5" s="3" t="s">
        <v>19</v>
      </c>
      <c r="K5" s="3" t="s">
        <v>20</v>
      </c>
      <c r="L5" s="22" t="s">
        <v>112</v>
      </c>
      <c r="M5" s="19">
        <v>2</v>
      </c>
      <c r="N5" s="20" t="str">
        <f>TEXT(DATEVALUE(L5)+M5,"yyyy-mm-dd")</f>
        <v>2026-10-08</v>
      </c>
      <c r="O5" s="19">
        <v>7</v>
      </c>
      <c r="P5" s="19">
        <v>7</v>
      </c>
      <c r="Q5" s="4"/>
    </row>
    <row r="6" spans="1:17">
      <c r="A6" s="3">
        <v>2</v>
      </c>
      <c r="B6" s="3" t="s">
        <v>12</v>
      </c>
      <c r="C6" s="3" t="s">
        <v>13</v>
      </c>
      <c r="D6" s="3" t="s">
        <v>14</v>
      </c>
      <c r="E6" s="3" t="s">
        <v>15</v>
      </c>
      <c r="F6" s="3" t="s">
        <v>21</v>
      </c>
      <c r="G6" s="3" t="s">
        <v>17</v>
      </c>
      <c r="H6" s="3" t="s">
        <v>18</v>
      </c>
      <c r="I6" s="3">
        <v>700</v>
      </c>
      <c r="J6" s="3" t="s">
        <v>19</v>
      </c>
      <c r="K6" s="3" t="s">
        <v>20</v>
      </c>
      <c r="L6" s="22" t="s">
        <v>112</v>
      </c>
      <c r="M6" s="19">
        <v>2</v>
      </c>
      <c r="N6" s="20" t="str">
        <f>TEXT(DATEVALUE(L6)+M6,"yyyy-mm-dd")</f>
        <v>2026-10-08</v>
      </c>
      <c r="O6" s="19">
        <v>7</v>
      </c>
      <c r="P6" s="19">
        <v>7</v>
      </c>
      <c r="Q6" s="4"/>
    </row>
    <row r="7" spans="1:17">
      <c r="A7" s="3">
        <v>3</v>
      </c>
      <c r="B7" s="3" t="s">
        <v>12</v>
      </c>
      <c r="C7" s="3" t="s">
        <v>13</v>
      </c>
      <c r="D7" s="3" t="s">
        <v>14</v>
      </c>
      <c r="E7" s="3" t="s">
        <v>15</v>
      </c>
      <c r="F7" s="3" t="s">
        <v>22</v>
      </c>
      <c r="G7" s="3" t="s">
        <v>17</v>
      </c>
      <c r="H7" s="3" t="s">
        <v>18</v>
      </c>
      <c r="I7" s="3">
        <v>750</v>
      </c>
      <c r="J7" s="3" t="s">
        <v>19</v>
      </c>
      <c r="K7" s="3" t="s">
        <v>20</v>
      </c>
      <c r="L7" s="22" t="s">
        <v>112</v>
      </c>
      <c r="M7" s="19">
        <v>2</v>
      </c>
      <c r="N7" s="20" t="str">
        <f>TEXT(DATEVALUE(L7)+M7,"yyyy-mm-dd")</f>
        <v>2026-10-08</v>
      </c>
      <c r="O7" s="19">
        <v>7</v>
      </c>
      <c r="P7" s="19">
        <v>7</v>
      </c>
      <c r="Q7" s="4"/>
    </row>
    <row r="8" spans="1:17" ht="25.5">
      <c r="A8" s="3">
        <v>4</v>
      </c>
      <c r="B8" s="3" t="s">
        <v>12</v>
      </c>
      <c r="C8" s="3" t="s">
        <v>13</v>
      </c>
      <c r="D8" s="3" t="s">
        <v>14</v>
      </c>
      <c r="E8" s="3" t="s">
        <v>15</v>
      </c>
      <c r="F8" s="3" t="s">
        <v>16</v>
      </c>
      <c r="G8" s="3" t="s">
        <v>23</v>
      </c>
      <c r="H8" s="3" t="s">
        <v>18</v>
      </c>
      <c r="I8" s="3">
        <v>430</v>
      </c>
      <c r="J8" s="3" t="s">
        <v>19</v>
      </c>
      <c r="K8" s="3" t="s">
        <v>20</v>
      </c>
      <c r="L8" s="22" t="s">
        <v>113</v>
      </c>
      <c r="M8" s="19">
        <v>2</v>
      </c>
      <c r="N8" s="20" t="str">
        <f>TEXT(DATEVALUE(L8)+M8,"yyyy-mm-dd")</f>
        <v>2026-10-09</v>
      </c>
      <c r="O8" s="19">
        <v>5</v>
      </c>
      <c r="P8" s="19">
        <v>5</v>
      </c>
      <c r="Q8" s="5" t="s">
        <v>24</v>
      </c>
    </row>
    <row r="9" spans="1:17" ht="25.5">
      <c r="A9" s="3">
        <v>5</v>
      </c>
      <c r="B9" s="3" t="s">
        <v>12</v>
      </c>
      <c r="C9" s="3" t="s">
        <v>13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>
        <v>520</v>
      </c>
      <c r="J9" s="3" t="s">
        <v>25</v>
      </c>
      <c r="K9" s="3" t="s">
        <v>26</v>
      </c>
      <c r="L9" s="22" t="s">
        <v>114</v>
      </c>
      <c r="M9" s="19">
        <v>2</v>
      </c>
      <c r="N9" s="20" t="str">
        <f>TEXT(DATEVALUE(L9)+M9,"yyyy-mm-dd")</f>
        <v>2026-10-22</v>
      </c>
      <c r="O9" s="19">
        <v>7</v>
      </c>
      <c r="P9" s="19">
        <v>7</v>
      </c>
      <c r="Q9" s="4" t="s">
        <v>27</v>
      </c>
    </row>
    <row r="10" spans="1:17">
      <c r="A10" s="3">
        <v>6</v>
      </c>
      <c r="B10" s="3" t="s">
        <v>12</v>
      </c>
      <c r="C10" s="3" t="s">
        <v>13</v>
      </c>
      <c r="D10" s="3" t="s">
        <v>14</v>
      </c>
      <c r="E10" s="3" t="s">
        <v>15</v>
      </c>
      <c r="F10" s="3" t="s">
        <v>21</v>
      </c>
      <c r="G10" s="3" t="s">
        <v>17</v>
      </c>
      <c r="H10" s="3" t="s">
        <v>18</v>
      </c>
      <c r="I10" s="3">
        <v>800</v>
      </c>
      <c r="J10" s="3" t="s">
        <v>25</v>
      </c>
      <c r="K10" s="3" t="s">
        <v>26</v>
      </c>
      <c r="L10" s="22" t="s">
        <v>114</v>
      </c>
      <c r="M10" s="19">
        <v>2</v>
      </c>
      <c r="N10" s="20" t="str">
        <f>TEXT(DATEVALUE(L10)+M10,"yyyy-mm-dd")</f>
        <v>2026-10-22</v>
      </c>
      <c r="O10" s="19">
        <v>7</v>
      </c>
      <c r="P10" s="19">
        <v>7</v>
      </c>
      <c r="Q10" s="4" t="s">
        <v>28</v>
      </c>
    </row>
    <row r="11" spans="1:17">
      <c r="A11" s="3">
        <v>7</v>
      </c>
      <c r="B11" s="3" t="s">
        <v>12</v>
      </c>
      <c r="C11" s="3" t="s">
        <v>13</v>
      </c>
      <c r="D11" s="3" t="s">
        <v>14</v>
      </c>
      <c r="E11" s="3" t="s">
        <v>15</v>
      </c>
      <c r="F11" s="3" t="s">
        <v>22</v>
      </c>
      <c r="G11" s="3" t="s">
        <v>17</v>
      </c>
      <c r="H11" s="3" t="s">
        <v>18</v>
      </c>
      <c r="I11" s="3">
        <v>850</v>
      </c>
      <c r="J11" s="3" t="s">
        <v>25</v>
      </c>
      <c r="K11" s="3" t="s">
        <v>26</v>
      </c>
      <c r="L11" s="22" t="s">
        <v>114</v>
      </c>
      <c r="M11" s="19">
        <v>2</v>
      </c>
      <c r="N11" s="20" t="str">
        <f>TEXT(DATEVALUE(L11)+M11,"yyyy-mm-dd")</f>
        <v>2026-10-22</v>
      </c>
      <c r="O11" s="19">
        <v>7</v>
      </c>
      <c r="P11" s="19">
        <v>7</v>
      </c>
      <c r="Q11" s="4" t="s">
        <v>28</v>
      </c>
    </row>
    <row r="12" spans="1:17">
      <c r="A12" s="3">
        <v>8</v>
      </c>
      <c r="B12" s="3" t="s">
        <v>29</v>
      </c>
      <c r="C12" s="3" t="s">
        <v>30</v>
      </c>
      <c r="D12" s="3" t="s">
        <v>14</v>
      </c>
      <c r="E12" s="3" t="s">
        <v>15</v>
      </c>
      <c r="F12" s="3" t="s">
        <v>16</v>
      </c>
      <c r="G12" s="3" t="s">
        <v>31</v>
      </c>
      <c r="H12" s="3" t="s">
        <v>18</v>
      </c>
      <c r="I12" s="3">
        <v>480</v>
      </c>
      <c r="J12" s="3" t="s">
        <v>19</v>
      </c>
      <c r="K12" s="3" t="s">
        <v>26</v>
      </c>
      <c r="L12" s="22" t="s">
        <v>112</v>
      </c>
      <c r="M12" s="19">
        <v>3</v>
      </c>
      <c r="N12" s="20" t="str">
        <f>TEXT(DATEVALUE(L12)+M12,"yyyy-mm-dd")</f>
        <v>2026-10-09</v>
      </c>
      <c r="O12" s="19">
        <v>4</v>
      </c>
      <c r="P12" s="19">
        <v>4</v>
      </c>
      <c r="Q12" s="4"/>
    </row>
    <row r="13" spans="1:17">
      <c r="A13" s="3">
        <v>9</v>
      </c>
      <c r="B13" s="3" t="s">
        <v>29</v>
      </c>
      <c r="C13" s="3" t="s">
        <v>30</v>
      </c>
      <c r="D13" s="3" t="s">
        <v>14</v>
      </c>
      <c r="E13" s="3" t="s">
        <v>15</v>
      </c>
      <c r="F13" s="3" t="s">
        <v>21</v>
      </c>
      <c r="G13" s="3" t="s">
        <v>31</v>
      </c>
      <c r="H13" s="3" t="s">
        <v>18</v>
      </c>
      <c r="I13" s="3">
        <v>730</v>
      </c>
      <c r="J13" s="3" t="s">
        <v>19</v>
      </c>
      <c r="K13" s="3" t="s">
        <v>26</v>
      </c>
      <c r="L13" s="22" t="s">
        <v>112</v>
      </c>
      <c r="M13" s="19">
        <v>3</v>
      </c>
      <c r="N13" s="20" t="str">
        <f>TEXT(DATEVALUE(L13)+M13,"yyyy-mm-dd")</f>
        <v>2026-10-09</v>
      </c>
      <c r="O13" s="19">
        <v>4</v>
      </c>
      <c r="P13" s="19">
        <v>4</v>
      </c>
      <c r="Q13" s="4"/>
    </row>
    <row r="14" spans="1:17">
      <c r="A14" s="3">
        <v>10</v>
      </c>
      <c r="B14" s="3" t="s">
        <v>29</v>
      </c>
      <c r="C14" s="3" t="s">
        <v>30</v>
      </c>
      <c r="D14" s="3" t="s">
        <v>14</v>
      </c>
      <c r="E14" s="3" t="s">
        <v>15</v>
      </c>
      <c r="F14" s="3" t="s">
        <v>22</v>
      </c>
      <c r="G14" s="3" t="s">
        <v>31</v>
      </c>
      <c r="H14" s="3" t="s">
        <v>18</v>
      </c>
      <c r="I14" s="3">
        <v>780</v>
      </c>
      <c r="J14" s="3" t="s">
        <v>19</v>
      </c>
      <c r="K14" s="3" t="s">
        <v>26</v>
      </c>
      <c r="L14" s="22" t="s">
        <v>112</v>
      </c>
      <c r="M14" s="19">
        <v>3</v>
      </c>
      <c r="N14" s="20" t="str">
        <f>TEXT(DATEVALUE(L14)+M14,"yyyy-mm-dd")</f>
        <v>2026-10-09</v>
      </c>
      <c r="O14" s="19">
        <v>4</v>
      </c>
      <c r="P14" s="19">
        <v>4</v>
      </c>
      <c r="Q14" s="4"/>
    </row>
    <row r="15" spans="1:17">
      <c r="A15" s="3">
        <v>11</v>
      </c>
      <c r="B15" s="3" t="s">
        <v>12</v>
      </c>
      <c r="C15" s="3" t="s">
        <v>13</v>
      </c>
      <c r="D15" s="3" t="s">
        <v>32</v>
      </c>
      <c r="E15" s="3" t="s">
        <v>33</v>
      </c>
      <c r="F15" s="3" t="s">
        <v>16</v>
      </c>
      <c r="G15" s="3" t="s">
        <v>31</v>
      </c>
      <c r="H15" s="3" t="s">
        <v>18</v>
      </c>
      <c r="I15" s="3">
        <v>520</v>
      </c>
      <c r="J15" s="3" t="s">
        <v>19</v>
      </c>
      <c r="K15" s="3" t="s">
        <v>26</v>
      </c>
      <c r="L15" s="22" t="s">
        <v>112</v>
      </c>
      <c r="M15" s="19">
        <v>2</v>
      </c>
      <c r="N15" s="20" t="str">
        <f>TEXT(DATEVALUE(L15)+M15,"yyyy-mm-dd")</f>
        <v>2026-10-08</v>
      </c>
      <c r="O15" s="19">
        <v>4</v>
      </c>
      <c r="P15" s="19">
        <v>4</v>
      </c>
      <c r="Q15" s="4"/>
    </row>
    <row r="16" spans="1:17">
      <c r="A16" s="3">
        <v>12</v>
      </c>
      <c r="B16" s="3" t="s">
        <v>12</v>
      </c>
      <c r="C16" s="3" t="s">
        <v>13</v>
      </c>
      <c r="D16" s="3" t="s">
        <v>32</v>
      </c>
      <c r="E16" s="3" t="s">
        <v>33</v>
      </c>
      <c r="F16" s="3" t="s">
        <v>21</v>
      </c>
      <c r="G16" s="3" t="s">
        <v>31</v>
      </c>
      <c r="H16" s="3" t="s">
        <v>18</v>
      </c>
      <c r="I16" s="3">
        <v>800</v>
      </c>
      <c r="J16" s="3" t="s">
        <v>19</v>
      </c>
      <c r="K16" s="3" t="s">
        <v>26</v>
      </c>
      <c r="L16" s="22" t="s">
        <v>112</v>
      </c>
      <c r="M16" s="19">
        <v>2</v>
      </c>
      <c r="N16" s="20" t="str">
        <f>TEXT(DATEVALUE(L16)+M16,"yyyy-mm-dd")</f>
        <v>2026-10-08</v>
      </c>
      <c r="O16" s="19">
        <v>4</v>
      </c>
      <c r="P16" s="19">
        <v>4</v>
      </c>
      <c r="Q16" s="4"/>
    </row>
    <row r="17" spans="1:17">
      <c r="A17" s="3">
        <v>13</v>
      </c>
      <c r="B17" s="3" t="s">
        <v>12</v>
      </c>
      <c r="C17" s="3" t="s">
        <v>13</v>
      </c>
      <c r="D17" s="3" t="s">
        <v>32</v>
      </c>
      <c r="E17" s="3" t="s">
        <v>33</v>
      </c>
      <c r="F17" s="3" t="s">
        <v>22</v>
      </c>
      <c r="G17" s="3" t="s">
        <v>31</v>
      </c>
      <c r="H17" s="3" t="s">
        <v>18</v>
      </c>
      <c r="I17" s="3">
        <v>850</v>
      </c>
      <c r="J17" s="3" t="s">
        <v>19</v>
      </c>
      <c r="K17" s="3" t="s">
        <v>26</v>
      </c>
      <c r="L17" s="22" t="s">
        <v>112</v>
      </c>
      <c r="M17" s="19">
        <v>2</v>
      </c>
      <c r="N17" s="20" t="str">
        <f>TEXT(DATEVALUE(L17)+M17,"yyyy-mm-dd")</f>
        <v>2026-10-08</v>
      </c>
      <c r="O17" s="19">
        <v>4</v>
      </c>
      <c r="P17" s="19">
        <v>4</v>
      </c>
      <c r="Q17" s="4"/>
    </row>
    <row r="18" spans="1:17">
      <c r="A18" s="3">
        <v>14</v>
      </c>
      <c r="B18" s="3" t="s">
        <v>34</v>
      </c>
      <c r="C18" s="3" t="s">
        <v>35</v>
      </c>
      <c r="D18" s="3" t="s">
        <v>14</v>
      </c>
      <c r="E18" s="3" t="s">
        <v>15</v>
      </c>
      <c r="F18" s="3" t="s">
        <v>16</v>
      </c>
      <c r="G18" s="3" t="s">
        <v>31</v>
      </c>
      <c r="H18" s="3" t="s">
        <v>18</v>
      </c>
      <c r="I18" s="3">
        <v>650</v>
      </c>
      <c r="J18" s="3" t="s">
        <v>19</v>
      </c>
      <c r="K18" s="3" t="s">
        <v>26</v>
      </c>
      <c r="L18" s="22" t="s">
        <v>112</v>
      </c>
      <c r="M18" s="19">
        <v>5</v>
      </c>
      <c r="N18" s="20" t="str">
        <f>TEXT(DATEVALUE(L18)+M18,"yyyy-mm-dd")</f>
        <v>2026-10-11</v>
      </c>
      <c r="O18" s="19">
        <v>4</v>
      </c>
      <c r="P18" s="19">
        <v>4</v>
      </c>
      <c r="Q18" s="4"/>
    </row>
    <row r="19" spans="1:17">
      <c r="A19" s="3">
        <v>15</v>
      </c>
      <c r="B19" s="3" t="s">
        <v>34</v>
      </c>
      <c r="C19" s="3" t="s">
        <v>35</v>
      </c>
      <c r="D19" s="3" t="s">
        <v>14</v>
      </c>
      <c r="E19" s="3" t="s">
        <v>15</v>
      </c>
      <c r="F19" s="3" t="s">
        <v>21</v>
      </c>
      <c r="G19" s="3" t="s">
        <v>31</v>
      </c>
      <c r="H19" s="3" t="s">
        <v>18</v>
      </c>
      <c r="I19" s="3">
        <v>1000</v>
      </c>
      <c r="J19" s="3" t="s">
        <v>19</v>
      </c>
      <c r="K19" s="3" t="s">
        <v>26</v>
      </c>
      <c r="L19" s="22" t="s">
        <v>112</v>
      </c>
      <c r="M19" s="19">
        <v>5</v>
      </c>
      <c r="N19" s="20" t="str">
        <f>TEXT(DATEVALUE(L19)+M19,"yyyy-mm-dd")</f>
        <v>2026-10-11</v>
      </c>
      <c r="O19" s="19">
        <v>4</v>
      </c>
      <c r="P19" s="19">
        <v>4</v>
      </c>
      <c r="Q19" s="4"/>
    </row>
    <row r="20" spans="1:17">
      <c r="A20" s="3">
        <v>16</v>
      </c>
      <c r="B20" s="3" t="s">
        <v>34</v>
      </c>
      <c r="C20" s="3" t="s">
        <v>35</v>
      </c>
      <c r="D20" s="3" t="s">
        <v>14</v>
      </c>
      <c r="E20" s="3" t="s">
        <v>15</v>
      </c>
      <c r="F20" s="3" t="s">
        <v>22</v>
      </c>
      <c r="G20" s="3" t="s">
        <v>31</v>
      </c>
      <c r="H20" s="3" t="s">
        <v>18</v>
      </c>
      <c r="I20" s="3">
        <v>1080</v>
      </c>
      <c r="J20" s="3" t="s">
        <v>19</v>
      </c>
      <c r="K20" s="3" t="s">
        <v>26</v>
      </c>
      <c r="L20" s="22" t="s">
        <v>112</v>
      </c>
      <c r="M20" s="19">
        <v>5</v>
      </c>
      <c r="N20" s="20" t="str">
        <f>TEXT(DATEVALUE(L20)+M20,"yyyy-mm-dd")</f>
        <v>2026-10-11</v>
      </c>
      <c r="O20" s="19">
        <v>4</v>
      </c>
      <c r="P20" s="19">
        <v>4</v>
      </c>
      <c r="Q20" s="4"/>
    </row>
    <row r="21" spans="1:17">
      <c r="A21" s="3">
        <v>17</v>
      </c>
      <c r="B21" s="3" t="s">
        <v>36</v>
      </c>
      <c r="C21" s="3" t="s">
        <v>37</v>
      </c>
      <c r="D21" s="3" t="s">
        <v>14</v>
      </c>
      <c r="E21" s="3" t="s">
        <v>15</v>
      </c>
      <c r="F21" s="3" t="s">
        <v>16</v>
      </c>
      <c r="G21" s="3" t="s">
        <v>31</v>
      </c>
      <c r="H21" s="3" t="s">
        <v>18</v>
      </c>
      <c r="I21" s="3">
        <v>720</v>
      </c>
      <c r="J21" s="3" t="s">
        <v>19</v>
      </c>
      <c r="K21" s="3" t="s">
        <v>26</v>
      </c>
      <c r="L21" s="22" t="s">
        <v>112</v>
      </c>
      <c r="M21" s="19">
        <v>7</v>
      </c>
      <c r="N21" s="20" t="str">
        <f>TEXT(DATEVALUE(L21)+M21,"yyyy-mm-dd")</f>
        <v>2026-10-13</v>
      </c>
      <c r="O21" s="19">
        <v>4</v>
      </c>
      <c r="P21" s="19">
        <v>4</v>
      </c>
      <c r="Q21" s="4"/>
    </row>
    <row r="22" spans="1:17">
      <c r="A22" s="3">
        <v>18</v>
      </c>
      <c r="B22" s="3" t="s">
        <v>36</v>
      </c>
      <c r="C22" s="3" t="s">
        <v>37</v>
      </c>
      <c r="D22" s="3" t="s">
        <v>14</v>
      </c>
      <c r="E22" s="3" t="s">
        <v>15</v>
      </c>
      <c r="F22" s="3" t="s">
        <v>21</v>
      </c>
      <c r="G22" s="3" t="s">
        <v>31</v>
      </c>
      <c r="H22" s="3" t="s">
        <v>18</v>
      </c>
      <c r="I22" s="3">
        <v>1150</v>
      </c>
      <c r="J22" s="3" t="s">
        <v>19</v>
      </c>
      <c r="K22" s="3" t="s">
        <v>26</v>
      </c>
      <c r="L22" s="22" t="s">
        <v>112</v>
      </c>
      <c r="M22" s="19">
        <v>7</v>
      </c>
      <c r="N22" s="20" t="str">
        <f>TEXT(DATEVALUE(L22)+M22,"yyyy-mm-dd")</f>
        <v>2026-10-13</v>
      </c>
      <c r="O22" s="19">
        <v>4</v>
      </c>
      <c r="P22" s="19">
        <v>4</v>
      </c>
      <c r="Q22" s="4"/>
    </row>
    <row r="23" spans="1:17">
      <c r="A23" s="3">
        <v>19</v>
      </c>
      <c r="B23" s="3" t="s">
        <v>36</v>
      </c>
      <c r="C23" s="3" t="s">
        <v>37</v>
      </c>
      <c r="D23" s="3" t="s">
        <v>14</v>
      </c>
      <c r="E23" s="3" t="s">
        <v>15</v>
      </c>
      <c r="F23" s="3" t="s">
        <v>22</v>
      </c>
      <c r="G23" s="3" t="s">
        <v>31</v>
      </c>
      <c r="H23" s="3" t="s">
        <v>18</v>
      </c>
      <c r="I23" s="3">
        <v>1230</v>
      </c>
      <c r="J23" s="3" t="s">
        <v>19</v>
      </c>
      <c r="K23" s="3" t="s">
        <v>26</v>
      </c>
      <c r="L23" s="22" t="s">
        <v>112</v>
      </c>
      <c r="M23" s="19">
        <v>7</v>
      </c>
      <c r="N23" s="20" t="str">
        <f>TEXT(DATEVALUE(L23)+M23,"yyyy-mm-dd")</f>
        <v>2026-10-13</v>
      </c>
      <c r="O23" s="19">
        <v>4</v>
      </c>
      <c r="P23" s="19">
        <v>4</v>
      </c>
      <c r="Q23" s="4"/>
    </row>
    <row r="24" spans="1:17">
      <c r="A24" s="3">
        <v>20</v>
      </c>
      <c r="B24" s="3" t="s">
        <v>38</v>
      </c>
      <c r="C24" s="3" t="s">
        <v>39</v>
      </c>
      <c r="D24" s="3" t="s">
        <v>14</v>
      </c>
      <c r="E24" s="3" t="s">
        <v>15</v>
      </c>
      <c r="F24" s="3" t="s">
        <v>16</v>
      </c>
      <c r="G24" s="3" t="s">
        <v>31</v>
      </c>
      <c r="H24" s="3" t="s">
        <v>18</v>
      </c>
      <c r="I24" s="3">
        <v>780</v>
      </c>
      <c r="J24" s="3" t="s">
        <v>19</v>
      </c>
      <c r="K24" s="3" t="s">
        <v>26</v>
      </c>
      <c r="L24" s="22" t="s">
        <v>112</v>
      </c>
      <c r="M24" s="19">
        <v>8</v>
      </c>
      <c r="N24" s="20" t="str">
        <f>TEXT(DATEVALUE(L24)+M24,"yyyy-mm-dd")</f>
        <v>2026-10-14</v>
      </c>
      <c r="O24" s="19">
        <v>4</v>
      </c>
      <c r="P24" s="19">
        <v>4</v>
      </c>
      <c r="Q24" s="4"/>
    </row>
    <row r="25" spans="1:17">
      <c r="A25" s="3">
        <v>21</v>
      </c>
      <c r="B25" s="3" t="s">
        <v>38</v>
      </c>
      <c r="C25" s="3" t="s">
        <v>39</v>
      </c>
      <c r="D25" s="3" t="s">
        <v>14</v>
      </c>
      <c r="E25" s="3" t="s">
        <v>15</v>
      </c>
      <c r="F25" s="3" t="s">
        <v>21</v>
      </c>
      <c r="G25" s="3" t="s">
        <v>31</v>
      </c>
      <c r="H25" s="3" t="s">
        <v>18</v>
      </c>
      <c r="I25" s="3">
        <v>1250</v>
      </c>
      <c r="J25" s="3" t="s">
        <v>19</v>
      </c>
      <c r="K25" s="3" t="s">
        <v>26</v>
      </c>
      <c r="L25" s="22" t="s">
        <v>112</v>
      </c>
      <c r="M25" s="19">
        <v>8</v>
      </c>
      <c r="N25" s="20" t="str">
        <f>TEXT(DATEVALUE(L25)+M25,"yyyy-mm-dd")</f>
        <v>2026-10-14</v>
      </c>
      <c r="O25" s="19">
        <v>4</v>
      </c>
      <c r="P25" s="19">
        <v>4</v>
      </c>
      <c r="Q25" s="4"/>
    </row>
    <row r="26" spans="1:17">
      <c r="A26" s="3">
        <v>22</v>
      </c>
      <c r="B26" s="3" t="s">
        <v>38</v>
      </c>
      <c r="C26" s="3" t="s">
        <v>39</v>
      </c>
      <c r="D26" s="3" t="s">
        <v>14</v>
      </c>
      <c r="E26" s="3" t="s">
        <v>15</v>
      </c>
      <c r="F26" s="3" t="s">
        <v>22</v>
      </c>
      <c r="G26" s="3" t="s">
        <v>31</v>
      </c>
      <c r="H26" s="3" t="s">
        <v>18</v>
      </c>
      <c r="I26" s="3">
        <v>1330</v>
      </c>
      <c r="J26" s="3" t="s">
        <v>19</v>
      </c>
      <c r="K26" s="3" t="s">
        <v>26</v>
      </c>
      <c r="L26" s="22" t="s">
        <v>112</v>
      </c>
      <c r="M26" s="19">
        <v>8</v>
      </c>
      <c r="N26" s="20" t="str">
        <f>TEXT(DATEVALUE(L26)+M26,"yyyy-mm-dd")</f>
        <v>2026-10-14</v>
      </c>
      <c r="O26" s="19">
        <v>4</v>
      </c>
      <c r="P26" s="19">
        <v>4</v>
      </c>
      <c r="Q26" s="4"/>
    </row>
  </sheetData>
  <phoneticPr fontId="11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7"/>
  <sheetViews>
    <sheetView showGridLines="0" zoomScaleNormal="100" workbookViewId="0">
      <pane ySplit="4" topLeftCell="A5" activePane="bottomLeft" state="frozen"/>
      <selection pane="bottomLeft" activeCell="C3" sqref="C3"/>
    </sheetView>
  </sheetViews>
  <sheetFormatPr defaultColWidth="8.7109375" defaultRowHeight="15"/>
  <cols>
    <col min="1" max="1" width="12" customWidth="1"/>
    <col min="2" max="2" width="18.85546875" bestFit="1" customWidth="1"/>
    <col min="3" max="3" width="22.5703125" bestFit="1" customWidth="1"/>
    <col min="4" max="4" width="9" customWidth="1"/>
    <col min="5" max="6" width="11" customWidth="1"/>
    <col min="7" max="7" width="14" customWidth="1"/>
    <col min="8" max="8" width="17" customWidth="1"/>
    <col min="9" max="11" width="9" customWidth="1"/>
    <col min="12" max="12" width="10" customWidth="1"/>
    <col min="13" max="14" width="12" customWidth="1"/>
    <col min="15" max="15" width="30" customWidth="1"/>
  </cols>
  <sheetData>
    <row r="1" spans="1:15" ht="17.25">
      <c r="A1" s="17" t="s">
        <v>106</v>
      </c>
    </row>
    <row r="2" spans="1:15">
      <c r="A2" s="6" t="s">
        <v>40</v>
      </c>
    </row>
    <row r="4" spans="1:15" ht="30" customHeight="1">
      <c r="A4" s="2" t="s">
        <v>41</v>
      </c>
      <c r="B4" s="2" t="s">
        <v>42</v>
      </c>
      <c r="C4" s="2" t="s">
        <v>43</v>
      </c>
      <c r="D4" s="2" t="s">
        <v>44</v>
      </c>
      <c r="E4" s="2" t="s">
        <v>45</v>
      </c>
      <c r="F4" s="2" t="s">
        <v>46</v>
      </c>
      <c r="G4" s="2" t="s">
        <v>5</v>
      </c>
      <c r="H4" s="2" t="s">
        <v>47</v>
      </c>
      <c r="I4" s="2" t="s">
        <v>7</v>
      </c>
      <c r="J4" s="2" t="s">
        <v>8</v>
      </c>
      <c r="K4" s="2" t="s">
        <v>48</v>
      </c>
      <c r="L4" s="2" t="s">
        <v>49</v>
      </c>
      <c r="M4" s="2" t="s">
        <v>9</v>
      </c>
      <c r="N4" s="2" t="s">
        <v>10</v>
      </c>
      <c r="O4" s="2" t="s">
        <v>11</v>
      </c>
    </row>
    <row r="5" spans="1:15">
      <c r="A5" s="3" t="s">
        <v>50</v>
      </c>
      <c r="B5" s="3" t="s">
        <v>51</v>
      </c>
      <c r="C5" s="3" t="s">
        <v>52</v>
      </c>
      <c r="D5" s="3" t="s">
        <v>53</v>
      </c>
      <c r="E5" s="3" t="s">
        <v>54</v>
      </c>
      <c r="F5" s="3" t="s">
        <v>54</v>
      </c>
      <c r="G5" s="3" t="s">
        <v>16</v>
      </c>
      <c r="H5" s="3"/>
      <c r="I5" s="3" t="s">
        <v>18</v>
      </c>
      <c r="J5" s="3">
        <v>120</v>
      </c>
      <c r="K5" s="3"/>
      <c r="L5" s="3"/>
      <c r="M5" s="3" t="s">
        <v>19</v>
      </c>
      <c r="N5" s="3" t="s">
        <v>26</v>
      </c>
      <c r="O5" s="4"/>
    </row>
    <row r="6" spans="1:15">
      <c r="A6" s="3" t="s">
        <v>50</v>
      </c>
      <c r="B6" s="3" t="s">
        <v>51</v>
      </c>
      <c r="C6" s="3" t="s">
        <v>52</v>
      </c>
      <c r="D6" s="3" t="s">
        <v>53</v>
      </c>
      <c r="E6" s="3" t="s">
        <v>54</v>
      </c>
      <c r="F6" s="3" t="s">
        <v>54</v>
      </c>
      <c r="G6" s="3" t="s">
        <v>21</v>
      </c>
      <c r="H6" s="3"/>
      <c r="I6" s="3" t="s">
        <v>18</v>
      </c>
      <c r="J6" s="3">
        <v>180</v>
      </c>
      <c r="K6" s="3"/>
      <c r="L6" s="3"/>
      <c r="M6" s="3" t="s">
        <v>19</v>
      </c>
      <c r="N6" s="3" t="s">
        <v>26</v>
      </c>
      <c r="O6" s="4"/>
    </row>
    <row r="7" spans="1:15">
      <c r="A7" s="3" t="s">
        <v>50</v>
      </c>
      <c r="B7" s="3" t="s">
        <v>51</v>
      </c>
      <c r="C7" s="3" t="s">
        <v>52</v>
      </c>
      <c r="D7" s="3" t="s">
        <v>53</v>
      </c>
      <c r="E7" s="3" t="s">
        <v>54</v>
      </c>
      <c r="F7" s="3" t="s">
        <v>54</v>
      </c>
      <c r="G7" s="3" t="s">
        <v>22</v>
      </c>
      <c r="H7" s="3"/>
      <c r="I7" s="3" t="s">
        <v>18</v>
      </c>
      <c r="J7" s="3">
        <v>180</v>
      </c>
      <c r="K7" s="3"/>
      <c r="L7" s="3"/>
      <c r="M7" s="3" t="s">
        <v>19</v>
      </c>
      <c r="N7" s="3" t="s">
        <v>26</v>
      </c>
      <c r="O7" s="4"/>
    </row>
    <row r="8" spans="1:15">
      <c r="A8" s="3" t="s">
        <v>55</v>
      </c>
      <c r="B8" s="3" t="s">
        <v>56</v>
      </c>
      <c r="C8" s="3" t="s">
        <v>52</v>
      </c>
      <c r="D8" s="3" t="s">
        <v>57</v>
      </c>
      <c r="E8" s="3" t="s">
        <v>54</v>
      </c>
      <c r="F8" s="3" t="s">
        <v>54</v>
      </c>
      <c r="G8" s="3" t="s">
        <v>16</v>
      </c>
      <c r="H8" s="3"/>
      <c r="I8" s="3" t="s">
        <v>18</v>
      </c>
      <c r="J8" s="3">
        <v>130</v>
      </c>
      <c r="K8" s="3"/>
      <c r="L8" s="3"/>
      <c r="M8" s="3" t="s">
        <v>19</v>
      </c>
      <c r="N8" s="3" t="s">
        <v>26</v>
      </c>
      <c r="O8" s="4"/>
    </row>
    <row r="9" spans="1:15">
      <c r="A9" s="3" t="s">
        <v>55</v>
      </c>
      <c r="B9" s="3" t="s">
        <v>56</v>
      </c>
      <c r="C9" s="3" t="s">
        <v>52</v>
      </c>
      <c r="D9" s="3" t="s">
        <v>57</v>
      </c>
      <c r="E9" s="3" t="s">
        <v>54</v>
      </c>
      <c r="F9" s="3" t="s">
        <v>54</v>
      </c>
      <c r="G9" s="3" t="s">
        <v>21</v>
      </c>
      <c r="H9" s="3"/>
      <c r="I9" s="3" t="s">
        <v>18</v>
      </c>
      <c r="J9" s="3">
        <v>190</v>
      </c>
      <c r="K9" s="3"/>
      <c r="L9" s="3"/>
      <c r="M9" s="3" t="s">
        <v>19</v>
      </c>
      <c r="N9" s="3" t="s">
        <v>26</v>
      </c>
      <c r="O9" s="4"/>
    </row>
    <row r="10" spans="1:15">
      <c r="A10" s="3" t="s">
        <v>55</v>
      </c>
      <c r="B10" s="3" t="s">
        <v>56</v>
      </c>
      <c r="C10" s="3" t="s">
        <v>52</v>
      </c>
      <c r="D10" s="3" t="s">
        <v>57</v>
      </c>
      <c r="E10" s="3" t="s">
        <v>54</v>
      </c>
      <c r="F10" s="3" t="s">
        <v>54</v>
      </c>
      <c r="G10" s="3" t="s">
        <v>22</v>
      </c>
      <c r="H10" s="3"/>
      <c r="I10" s="3" t="s">
        <v>18</v>
      </c>
      <c r="J10" s="3">
        <v>190</v>
      </c>
      <c r="K10" s="3"/>
      <c r="L10" s="3"/>
      <c r="M10" s="3" t="s">
        <v>19</v>
      </c>
      <c r="N10" s="3" t="s">
        <v>26</v>
      </c>
      <c r="O10" s="4"/>
    </row>
    <row r="11" spans="1:15">
      <c r="A11" s="3" t="s">
        <v>58</v>
      </c>
      <c r="B11" s="3" t="s">
        <v>59</v>
      </c>
      <c r="C11" s="3" t="s">
        <v>60</v>
      </c>
      <c r="D11" s="3" t="s">
        <v>61</v>
      </c>
      <c r="E11" s="3" t="s">
        <v>54</v>
      </c>
      <c r="F11" s="3" t="s">
        <v>54</v>
      </c>
      <c r="G11" s="3" t="s">
        <v>54</v>
      </c>
      <c r="H11" s="3"/>
      <c r="I11" s="3" t="s">
        <v>18</v>
      </c>
      <c r="J11" s="3">
        <v>30</v>
      </c>
      <c r="K11" s="3"/>
      <c r="L11" s="3"/>
      <c r="M11" s="3" t="s">
        <v>19</v>
      </c>
      <c r="N11" s="3" t="s">
        <v>26</v>
      </c>
      <c r="O11" s="5" t="s">
        <v>62</v>
      </c>
    </row>
    <row r="12" spans="1:15">
      <c r="A12" s="3" t="s">
        <v>63</v>
      </c>
      <c r="B12" s="3" t="s">
        <v>64</v>
      </c>
      <c r="C12" s="3" t="s">
        <v>60</v>
      </c>
      <c r="D12" s="3" t="s">
        <v>61</v>
      </c>
      <c r="E12" s="3" t="s">
        <v>54</v>
      </c>
      <c r="F12" s="3" t="s">
        <v>54</v>
      </c>
      <c r="G12" s="3" t="s">
        <v>54</v>
      </c>
      <c r="H12" s="3"/>
      <c r="I12" s="3" t="s">
        <v>18</v>
      </c>
      <c r="J12" s="3">
        <v>30</v>
      </c>
      <c r="K12" s="3"/>
      <c r="L12" s="3"/>
      <c r="M12" s="3" t="s">
        <v>19</v>
      </c>
      <c r="N12" s="3" t="s">
        <v>26</v>
      </c>
      <c r="O12" s="5" t="s">
        <v>62</v>
      </c>
    </row>
    <row r="13" spans="1:15">
      <c r="A13" s="3" t="s">
        <v>65</v>
      </c>
      <c r="B13" s="3" t="s">
        <v>66</v>
      </c>
      <c r="C13" s="3" t="s">
        <v>60</v>
      </c>
      <c r="D13" s="3" t="s">
        <v>61</v>
      </c>
      <c r="E13" s="3" t="s">
        <v>54</v>
      </c>
      <c r="F13" s="3" t="s">
        <v>54</v>
      </c>
      <c r="G13" s="3" t="s">
        <v>54</v>
      </c>
      <c r="H13" s="3"/>
      <c r="I13" s="3" t="s">
        <v>18</v>
      </c>
      <c r="J13" s="3">
        <v>50</v>
      </c>
      <c r="K13" s="3"/>
      <c r="L13" s="3"/>
      <c r="M13" s="3" t="s">
        <v>19</v>
      </c>
      <c r="N13" s="3" t="s">
        <v>26</v>
      </c>
      <c r="O13" s="5" t="s">
        <v>67</v>
      </c>
    </row>
    <row r="14" spans="1:15" ht="25.5">
      <c r="A14" s="3" t="s">
        <v>68</v>
      </c>
      <c r="B14" s="3" t="s">
        <v>69</v>
      </c>
      <c r="C14" s="3" t="s">
        <v>70</v>
      </c>
      <c r="D14" s="3" t="s">
        <v>61</v>
      </c>
      <c r="E14" s="3" t="s">
        <v>54</v>
      </c>
      <c r="F14" s="3" t="s">
        <v>54</v>
      </c>
      <c r="G14" s="3" t="s">
        <v>54</v>
      </c>
      <c r="H14" s="3" t="s">
        <v>71</v>
      </c>
      <c r="I14" s="3" t="s">
        <v>18</v>
      </c>
      <c r="J14" s="3"/>
      <c r="K14" s="7">
        <v>2E-3</v>
      </c>
      <c r="L14" s="3">
        <v>30</v>
      </c>
      <c r="M14" s="3" t="s">
        <v>19</v>
      </c>
      <c r="N14" s="3" t="s">
        <v>26</v>
      </c>
      <c r="O14" s="4" t="s">
        <v>72</v>
      </c>
    </row>
    <row r="15" spans="1:15">
      <c r="A15" s="3" t="s">
        <v>73</v>
      </c>
      <c r="B15" s="3" t="s">
        <v>74</v>
      </c>
      <c r="C15" s="3" t="s">
        <v>52</v>
      </c>
      <c r="D15" s="3" t="s">
        <v>53</v>
      </c>
      <c r="E15" s="3" t="s">
        <v>12</v>
      </c>
      <c r="F15" s="3" t="s">
        <v>14</v>
      </c>
      <c r="G15" s="3" t="s">
        <v>16</v>
      </c>
      <c r="H15" s="3"/>
      <c r="I15" s="3" t="s">
        <v>18</v>
      </c>
      <c r="J15" s="3">
        <v>50</v>
      </c>
      <c r="K15" s="3"/>
      <c r="L15" s="3"/>
      <c r="M15" s="3" t="s">
        <v>19</v>
      </c>
      <c r="N15" s="3" t="s">
        <v>26</v>
      </c>
      <c r="O15" s="5" t="s">
        <v>75</v>
      </c>
    </row>
    <row r="16" spans="1:15">
      <c r="A16" s="3" t="s">
        <v>73</v>
      </c>
      <c r="B16" s="3" t="s">
        <v>74</v>
      </c>
      <c r="C16" s="3" t="s">
        <v>52</v>
      </c>
      <c r="D16" s="3" t="s">
        <v>53</v>
      </c>
      <c r="E16" s="3" t="s">
        <v>12</v>
      </c>
      <c r="F16" s="3" t="s">
        <v>14</v>
      </c>
      <c r="G16" s="3" t="s">
        <v>21</v>
      </c>
      <c r="H16" s="3"/>
      <c r="I16" s="3" t="s">
        <v>18</v>
      </c>
      <c r="J16" s="3">
        <v>90</v>
      </c>
      <c r="K16" s="3"/>
      <c r="L16" s="3"/>
      <c r="M16" s="3" t="s">
        <v>19</v>
      </c>
      <c r="N16" s="3" t="s">
        <v>26</v>
      </c>
      <c r="O16" s="5" t="s">
        <v>75</v>
      </c>
    </row>
    <row r="17" spans="1:15">
      <c r="A17" s="3" t="s">
        <v>73</v>
      </c>
      <c r="B17" s="3" t="s">
        <v>74</v>
      </c>
      <c r="C17" s="3" t="s">
        <v>52</v>
      </c>
      <c r="D17" s="3" t="s">
        <v>53</v>
      </c>
      <c r="E17" s="3" t="s">
        <v>12</v>
      </c>
      <c r="F17" s="3" t="s">
        <v>14</v>
      </c>
      <c r="G17" s="3" t="s">
        <v>22</v>
      </c>
      <c r="H17" s="3"/>
      <c r="I17" s="3" t="s">
        <v>18</v>
      </c>
      <c r="J17" s="3">
        <v>90</v>
      </c>
      <c r="K17" s="3"/>
      <c r="L17" s="3"/>
      <c r="M17" s="3" t="s">
        <v>19</v>
      </c>
      <c r="N17" s="3" t="s">
        <v>26</v>
      </c>
      <c r="O17" s="5" t="s">
        <v>75</v>
      </c>
    </row>
  </sheetData>
  <phoneticPr fontId="11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8"/>
  <sheetViews>
    <sheetView showGridLines="0" zoomScaleNormal="100" workbookViewId="0">
      <selection activeCell="A18" sqref="A18"/>
    </sheetView>
  </sheetViews>
  <sheetFormatPr defaultColWidth="8.7109375" defaultRowHeight="15"/>
  <cols>
    <col min="1" max="1" width="99.28515625" bestFit="1" customWidth="1"/>
    <col min="2" max="2" width="35.7109375" bestFit="1" customWidth="1"/>
    <col min="3" max="3" width="20.5703125" bestFit="1" customWidth="1"/>
    <col min="4" max="4" width="44" customWidth="1"/>
  </cols>
  <sheetData>
    <row r="1" spans="1:3" ht="17.25">
      <c r="A1" s="17" t="s">
        <v>104</v>
      </c>
    </row>
    <row r="3" spans="1:3">
      <c r="A3" s="8" t="s">
        <v>76</v>
      </c>
      <c r="B3" s="9"/>
    </row>
    <row r="4" spans="1:3">
      <c r="A4" s="9" t="s">
        <v>77</v>
      </c>
      <c r="B4" s="9" t="s">
        <v>78</v>
      </c>
    </row>
    <row r="5" spans="1:3">
      <c r="A5" s="10" t="s">
        <v>79</v>
      </c>
      <c r="B5" s="9" t="s">
        <v>80</v>
      </c>
    </row>
    <row r="6" spans="1:3">
      <c r="A6" s="10" t="s">
        <v>81</v>
      </c>
      <c r="B6" s="9" t="s">
        <v>82</v>
      </c>
    </row>
    <row r="7" spans="1:3">
      <c r="A7" s="9" t="s">
        <v>83</v>
      </c>
      <c r="B7" s="9" t="s">
        <v>71</v>
      </c>
    </row>
    <row r="8" spans="1:3">
      <c r="A8" s="10" t="s">
        <v>84</v>
      </c>
      <c r="B8" s="9" t="s">
        <v>85</v>
      </c>
    </row>
    <row r="9" spans="1:3">
      <c r="A9" s="10" t="s">
        <v>86</v>
      </c>
      <c r="B9" s="9" t="s">
        <v>87</v>
      </c>
    </row>
    <row r="11" spans="1:3" ht="25.5" customHeight="1">
      <c r="A11" s="11" t="s">
        <v>88</v>
      </c>
      <c r="B11" s="11" t="s">
        <v>89</v>
      </c>
      <c r="C11" s="11" t="s">
        <v>90</v>
      </c>
    </row>
    <row r="12" spans="1:3" ht="51">
      <c r="A12" s="3" t="s">
        <v>91</v>
      </c>
      <c r="B12" s="12">
        <v>450</v>
      </c>
      <c r="C12" s="4" t="s">
        <v>92</v>
      </c>
    </row>
    <row r="13" spans="1:3" ht="51">
      <c r="A13" s="3" t="s">
        <v>51</v>
      </c>
      <c r="B13" s="12">
        <v>120</v>
      </c>
      <c r="C13" s="4" t="s">
        <v>93</v>
      </c>
    </row>
    <row r="14" spans="1:3" ht="51">
      <c r="A14" s="3" t="s">
        <v>56</v>
      </c>
      <c r="B14" s="12">
        <v>130</v>
      </c>
      <c r="C14" s="4" t="s">
        <v>94</v>
      </c>
    </row>
    <row r="15" spans="1:3" ht="25.5">
      <c r="A15" s="3" t="s">
        <v>59</v>
      </c>
      <c r="B15" s="12">
        <v>30</v>
      </c>
      <c r="C15" s="4" t="s">
        <v>95</v>
      </c>
    </row>
    <row r="16" spans="1:3" ht="25.5">
      <c r="A16" s="3" t="s">
        <v>64</v>
      </c>
      <c r="B16" s="12">
        <v>30</v>
      </c>
      <c r="C16" s="4" t="s">
        <v>96</v>
      </c>
    </row>
    <row r="17" spans="1:3" ht="38.25">
      <c r="A17" s="3" t="s">
        <v>66</v>
      </c>
      <c r="B17" s="12">
        <v>50</v>
      </c>
      <c r="C17" s="4" t="s">
        <v>97</v>
      </c>
    </row>
    <row r="18" spans="1:3" ht="38.25">
      <c r="A18" s="18" t="s">
        <v>105</v>
      </c>
      <c r="B18" s="12">
        <v>50</v>
      </c>
      <c r="C18" s="4" t="s">
        <v>98</v>
      </c>
    </row>
    <row r="19" spans="1:3" ht="51">
      <c r="A19" s="3" t="s">
        <v>69</v>
      </c>
      <c r="B19" s="12">
        <v>30</v>
      </c>
      <c r="C19" s="4" t="s">
        <v>99</v>
      </c>
    </row>
    <row r="20" spans="1:3">
      <c r="A20" s="13" t="s">
        <v>100</v>
      </c>
      <c r="B20" s="14">
        <f>SUM(B12:B19)</f>
        <v>890</v>
      </c>
      <c r="C20" s="15"/>
    </row>
    <row r="22" spans="1:3">
      <c r="A22" s="1" t="s">
        <v>101</v>
      </c>
    </row>
    <row r="24" spans="1:3">
      <c r="A24" s="3" t="s">
        <v>115</v>
      </c>
      <c r="B24" s="3" t="s">
        <v>116</v>
      </c>
      <c r="C24" s="3" t="s">
        <v>117</v>
      </c>
    </row>
    <row r="25" spans="1:3">
      <c r="A25" s="3" t="s">
        <v>118</v>
      </c>
      <c r="B25" s="23" t="str">
        <f>OceanFreight!L5</f>
        <v>2026-10-06</v>
      </c>
      <c r="C25" s="3" t="s">
        <v>119</v>
      </c>
    </row>
    <row r="26" spans="1:3">
      <c r="A26" s="3" t="s">
        <v>120</v>
      </c>
      <c r="B26" s="23" t="str">
        <f>OceanFreight!N5</f>
        <v>2026-10-08</v>
      </c>
      <c r="C26" s="3" t="s">
        <v>121</v>
      </c>
    </row>
    <row r="27" spans="1:3">
      <c r="A27" s="3" t="s">
        <v>122</v>
      </c>
      <c r="B27" s="23" t="str">
        <f>OceanFreight!O5&amp;"일"</f>
        <v>7일</v>
      </c>
      <c r="C27" s="3" t="s">
        <v>123</v>
      </c>
    </row>
    <row r="28" spans="1:3">
      <c r="A28" s="3" t="s">
        <v>124</v>
      </c>
      <c r="B28" s="23" t="str">
        <f>OceanFreight!P5&amp;"일"</f>
        <v>7일</v>
      </c>
      <c r="C28" s="3" t="s">
        <v>125</v>
      </c>
    </row>
  </sheetData>
  <phoneticPr fontId="11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OceanFreight</vt:lpstr>
      <vt:lpstr>Surcharges</vt:lpstr>
      <vt:lpstr>조회예시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권 민철</cp:lastModifiedBy>
  <cp:revision>0</cp:revision>
  <dcterms:created xsi:type="dcterms:W3CDTF">2026-10-02T04:16:12Z</dcterms:created>
  <dcterms:modified xsi:type="dcterms:W3CDTF">2026-10-02T06:03:34Z</dcterms:modified>
  <dc:language>en-US</dc:language>
</cp:coreProperties>
</file>