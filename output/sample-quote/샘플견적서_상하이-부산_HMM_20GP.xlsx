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ogiflow-main\output\sample-quote\"/>
    </mc:Choice>
  </mc:AlternateContent>
  <xr:revisionPtr revIDLastSave="0" documentId="13_ncr:1_{02599F0C-CF96-4611-B1B5-9196CF6566D2}" xr6:coauthVersionLast="47" xr6:coauthVersionMax="47" xr10:uidLastSave="{00000000-0000-0000-0000-000000000000}"/>
  <bookViews>
    <workbookView xWindow="5080" yWindow="4110" windowWidth="19200" windowHeight="11170" xr2:uid="{00000000-000D-0000-FFFF-FFFF00000000}"/>
  </bookViews>
  <sheets>
    <sheet name="CIF 견적서 (FCL, 20')" sheetId="1" r:id="rId1"/>
    <sheet name="산출근거" sheetId="2" r:id="rId2"/>
  </sheets>
  <definedNames>
    <definedName name="_xlnm.Print_Area" localSheetId="0">'CIF 견적서 (FCL, 20'')'!$A$1:$F$49</definedName>
    <definedName name="_xlnm.Print_Area" localSheetId="1">산출근거!$A$1:$H$22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8" i="1"/>
  <c r="E27" i="1"/>
  <c r="E26" i="1"/>
  <c r="E25" i="1"/>
  <c r="E24" i="1"/>
  <c r="E23" i="1"/>
  <c r="C35" i="1" s="1"/>
</calcChain>
</file>

<file path=xl/sharedStrings.xml><?xml version="1.0" encoding="utf-8"?>
<sst xmlns="http://schemas.openxmlformats.org/spreadsheetml/2006/main" count="115" uniqueCount="89">
  <si>
    <t>LEONA SEA &amp; AIR CO., LTD.</t>
  </si>
  <si>
    <t xml:space="preserve">#901–905, BIFC II 128 Namdongcheon-ro, </t>
  </si>
  <si>
    <t>Nam-gu, Busan, 48400 Republic of Korea</t>
  </si>
  <si>
    <t>Tel : 051.717.2541  Fax : 051.717.2543</t>
  </si>
  <si>
    <t>수 신 : 샘플 요율 조회예시 / 담당자 미지정</t>
  </si>
  <si>
    <t>발 신 : 레오나해운항공㈜ / 견적 담당</t>
  </si>
  <si>
    <t>Subject : SAMPLE - SHANGHAI / BUSAN (CIF)</t>
  </si>
  <si>
    <t>* TEST QUOTATION ONLY - Not valid for booking or billing.</t>
  </si>
  <si>
    <t>* Based on the supplied sample rate workbook; cargo details not provided.</t>
  </si>
  <si>
    <t>** POL / POD</t>
  </si>
  <si>
    <t>: SHANGHAI (CNSHA) - BUSAN (KRPUS)</t>
  </si>
  <si>
    <t xml:space="preserve">** SHIPPING METHOD </t>
  </si>
  <si>
    <t>: BY CONTAINER SHIPMENT (20FT GP X 1)</t>
  </si>
  <si>
    <t>** CARGO DETAIL</t>
  </si>
  <si>
    <t>: 20FT GP x 1 / HMM; commodity, packages and weight: NOT PROVIDED</t>
  </si>
  <si>
    <t>** INCOTERMS</t>
  </si>
  <si>
    <t>: CIF</t>
  </si>
  <si>
    <t>DATE : 2026. 10. 02</t>
  </si>
  <si>
    <t>FREIGHT &amp; CHARGES</t>
  </si>
  <si>
    <t>RATE</t>
  </si>
  <si>
    <t>Q'TY</t>
  </si>
  <si>
    <t>AMOUNT</t>
  </si>
  <si>
    <t>REMARK</t>
  </si>
  <si>
    <t>OCEAN FREIGHT</t>
  </si>
  <si>
    <t>HMM / PER CNTR</t>
  </si>
  <si>
    <t>ORIGIN THC</t>
  </si>
  <si>
    <t>PER_CONTAINER</t>
  </si>
  <si>
    <t>DESTINATION THC</t>
  </si>
  <si>
    <t>DOCUMENTATION FEE</t>
  </si>
  <si>
    <t>PER_BL</t>
  </si>
  <si>
    <t>B/L FEE</t>
  </si>
  <si>
    <t>HANDLING CHARGE</t>
  </si>
  <si>
    <t>CARGO INSURANCE</t>
  </si>
  <si>
    <t>VALUE x 0.2%; MIN USD 30</t>
  </si>
  <si>
    <t>BUNKER SURCHARGE</t>
  </si>
  <si>
    <t>TOTAL (USD)</t>
  </si>
  <si>
    <t>VAT NOT INCLUDED</t>
  </si>
  <si>
    <t>Remark</t>
  </si>
  <si>
    <t>* SOURCE: 샘플_요율표.xlsx / OceanFreight + Surcharges + 조회예시</t>
  </si>
  <si>
    <t>* CARGO READY DATE: 2026-10-05 / INVOICE VALUE: USD 15,000.00</t>
  </si>
  <si>
    <t>* ETD / ETA: NOT PROVIDED / TRANSIT TIME: NOT PROVIDED</t>
  </si>
  <si>
    <t>* FREE TIME (DET / DEM): NOT PROVIDED</t>
  </si>
  <si>
    <t>* RATE VALID UNTIL: 2026-10-15 (selected rates; quote validity not provided)</t>
  </si>
  <si>
    <t>* PAYMENT TERM: NOT PROVIDED / Currency: USD; no FX conversion applied.</t>
  </si>
  <si>
    <t>* Charges may vary with FX and cargo details; confirm before shipment.</t>
  </si>
  <si>
    <t>* SAMPLE-HMM-20GP / Rev. 1 - Separate example; not case LQ-2026-1002-003.</t>
  </si>
  <si>
    <t>* Insurance: USD 15,000 x 0.2% = USD 30 (minimum USD 30).</t>
  </si>
  <si>
    <t>* 감사합니다.</t>
  </si>
  <si>
    <t>(직인명판 생략)</t>
  </si>
  <si>
    <t>샘플_요율표.xlsx 조회예시 대조 — 실제 견적 아님</t>
  </si>
  <si>
    <t>표준 필드</t>
  </si>
  <si>
    <t>값</t>
  </si>
  <si>
    <t>요율표 값</t>
  </si>
  <si>
    <t>pol</t>
  </si>
  <si>
    <t>CNSHA</t>
  </si>
  <si>
    <t>pod</t>
  </si>
  <si>
    <t>KRPUS</t>
  </si>
  <si>
    <t>containerType</t>
  </si>
  <si>
    <t>20FT GP</t>
  </si>
  <si>
    <t>20GP</t>
  </si>
  <si>
    <t>incoterms</t>
  </si>
  <si>
    <t>CIF</t>
  </si>
  <si>
    <t>cargoReadyDate</t>
  </si>
  <si>
    <t>2026-10-05</t>
  </si>
  <si>
    <t>invoiceValue</t>
  </si>
  <si>
    <t>ccy</t>
  </si>
  <si>
    <t>USD</t>
  </si>
  <si>
    <t>carrier (조회 보조값)</t>
  </si>
  <si>
    <t>HMM</t>
  </si>
  <si>
    <t>containerCount (조회 보조값)</t>
  </si>
  <si>
    <t>charge_code</t>
  </si>
  <si>
    <t>charge_name</t>
  </si>
  <si>
    <t>source_sheet</t>
  </si>
  <si>
    <t>Excel 행</t>
  </si>
  <si>
    <t>단가 USD</t>
  </si>
  <si>
    <t>수량</t>
  </si>
  <si>
    <t>금액 USD</t>
  </si>
  <si>
    <t>산정 기준</t>
  </si>
  <si>
    <t>OCEAN_FREIGHT</t>
  </si>
  <si>
    <t>OceanFreight</t>
  </si>
  <si>
    <t>OTHC</t>
  </si>
  <si>
    <t>Surcharges</t>
  </si>
  <si>
    <t>DTHC</t>
  </si>
  <si>
    <t>DOC</t>
  </si>
  <si>
    <t>BL</t>
  </si>
  <si>
    <t>HANDLING</t>
  </si>
  <si>
    <t>INS</t>
  </si>
  <si>
    <t>BAF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</si>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</sst>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_);[Red]\(&quot;₩&quot;#,##0\)"/>
    <numFmt numFmtId="177" formatCode="&quot;US$&quot;#,##0.00"/>
    <numFmt numFmtId="178" formatCode="&quot;₩&quot;#,##0"/>
  </numFmts>
  <fonts count="23">
    <font>
      <sz val="11"/>
      <color theme="1"/>
      <name val="맑은 고딕"/>
      <family val="2"/>
      <charset val="129"/>
      <scheme val="minor"/>
    </font>
    <font>
      <sz val="12"/>
      <name val="宋体"/>
      <family val="3"/>
      <charset val="255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sz val="12"/>
      <name val="宋体"/>
    </font>
    <font>
      <sz val="10"/>
      <color rgb="FF000000"/>
      <name val="Arial"/>
      <family val="2"/>
    </font>
    <font>
      <b/>
      <i/>
      <sz val="10"/>
      <name val="Arial"/>
      <family val="2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i/>
      <u/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u/>
      <sz val="10"/>
      <color indexed="12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9"/>
      <name val="맑은 고딕"/>
    </font>
    <font>
      <b/>
      <sz val="11"/>
      <color rgb="FFFFFFFF"/>
      <name val="맑은 고딕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63B66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top"/>
      <protection locked="0"/>
    </xf>
    <xf numFmtId="0" fontId="8" fillId="0" borderId="0">
      <alignment vertical="center"/>
    </xf>
  </cellStyleXfs>
  <cellXfs count="66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2" fillId="2" borderId="0" xfId="1" applyFont="1" applyFill="1" applyAlignment="1">
      <alignment horizontal="center" vertical="center"/>
    </xf>
    <xf numFmtId="0" fontId="2" fillId="3" borderId="0" xfId="1" applyFont="1" applyFill="1">
      <alignment vertical="center"/>
    </xf>
    <xf numFmtId="3" fontId="4" fillId="3" borderId="0" xfId="1" applyNumberFormat="1" applyFont="1" applyFill="1">
      <alignment vertical="center"/>
    </xf>
    <xf numFmtId="3" fontId="4" fillId="2" borderId="0" xfId="1" applyNumberFormat="1" applyFont="1" applyFill="1">
      <alignment vertical="center"/>
    </xf>
    <xf numFmtId="0" fontId="5" fillId="0" borderId="0" xfId="1" applyFont="1" applyAlignment="1">
      <alignment horizontal="center" vertical="center" wrapText="1"/>
    </xf>
    <xf numFmtId="176" fontId="2" fillId="2" borderId="0" xfId="1" applyNumberFormat="1" applyFont="1" applyFill="1">
      <alignment vertical="center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right" vertical="center"/>
    </xf>
    <xf numFmtId="0" fontId="9" fillId="0" borderId="0" xfId="3" applyFont="1" applyAlignment="1">
      <alignment horizontal="right" vertical="center"/>
    </xf>
    <xf numFmtId="0" fontId="2" fillId="0" borderId="0" xfId="3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6" fillId="5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center" vertical="center"/>
    </xf>
    <xf numFmtId="0" fontId="12" fillId="2" borderId="0" xfId="1" applyFont="1" applyFill="1">
      <alignment vertical="center"/>
    </xf>
    <xf numFmtId="0" fontId="12" fillId="2" borderId="0" xfId="1" applyFont="1" applyFill="1" applyAlignment="1">
      <alignment horizontal="center" vertical="center"/>
    </xf>
    <xf numFmtId="0" fontId="11" fillId="2" borderId="0" xfId="1" applyFont="1" applyFill="1">
      <alignment vertical="center"/>
    </xf>
    <xf numFmtId="0" fontId="13" fillId="2" borderId="0" xfId="1" applyFont="1" applyFill="1">
      <alignment vertical="center"/>
    </xf>
    <xf numFmtId="0" fontId="13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right" vertical="center"/>
    </xf>
    <xf numFmtId="14" fontId="12" fillId="2" borderId="0" xfId="1" applyNumberFormat="1" applyFont="1" applyFill="1" applyAlignment="1">
      <alignment horizontal="center" vertical="center"/>
    </xf>
    <xf numFmtId="0" fontId="14" fillId="5" borderId="1" xfId="1" applyFont="1" applyFill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177" fontId="15" fillId="0" borderId="4" xfId="1" applyNumberFormat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/>
    </xf>
    <xf numFmtId="176" fontId="15" fillId="0" borderId="4" xfId="1" applyNumberFormat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76" fontId="15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178" fontId="15" fillId="0" borderId="1" xfId="1" applyNumberFormat="1" applyFont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 wrapText="1"/>
    </xf>
    <xf numFmtId="0" fontId="16" fillId="2" borderId="0" xfId="1" applyFont="1" applyFill="1">
      <alignment vertical="center"/>
    </xf>
    <xf numFmtId="0" fontId="16" fillId="2" borderId="0" xfId="1" applyFont="1" applyFill="1" applyAlignment="1">
      <alignment horizontal="center" vertical="center"/>
    </xf>
    <xf numFmtId="3" fontId="17" fillId="2" borderId="0" xfId="1" applyNumberFormat="1" applyFont="1" applyFill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>
      <alignment vertical="center"/>
    </xf>
    <xf numFmtId="3" fontId="17" fillId="3" borderId="0" xfId="1" applyNumberFormat="1" applyFont="1" applyFill="1">
      <alignment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8" fillId="0" borderId="0" xfId="1" applyFont="1" applyAlignment="1">
      <alignment horizontal="right" vertical="center"/>
    </xf>
    <xf numFmtId="0" fontId="19" fillId="2" borderId="0" xfId="2" applyFont="1" applyFill="1" applyAlignment="1" applyProtection="1"/>
    <xf numFmtId="0" fontId="12" fillId="2" borderId="0" xfId="1" applyFont="1" applyFill="1" applyAlignment="1">
      <alignment horizontal="right" vertical="center"/>
    </xf>
    <xf numFmtId="0" fontId="12" fillId="0" borderId="0" xfId="3" applyFont="1" applyAlignment="1">
      <alignment horizontal="right" vertical="center"/>
    </xf>
    <xf numFmtId="0" fontId="20" fillId="0" borderId="0" xfId="3" applyFont="1" applyAlignment="1">
      <alignment horizontal="right" vertical="center"/>
    </xf>
    <xf numFmtId="178" fontId="15" fillId="0" borderId="0" xfId="1" applyNumberFormat="1" applyFont="1" applyAlignment="1">
      <alignment horizontal="center" vertical="center"/>
    </xf>
    <xf numFmtId="0" fontId="0" fillId="0" borderId="0" xfId="0" applyAlignment="1"/>
    <xf numFmtId="0" fontId="11" fillId="2" borderId="6" xfId="1" applyFont="1" applyFill="1" applyBorder="1">
      <alignment vertical="center"/>
    </xf>
    <xf numFmtId="0" fontId="11" fillId="2" borderId="7" xfId="1" applyFont="1" applyFill="1" applyBorder="1" applyAlignment="1">
      <alignment horizontal="center" vertical="center"/>
    </xf>
    <xf numFmtId="0" fontId="12" fillId="2" borderId="8" xfId="1" applyFont="1" applyFill="1" applyBorder="1">
      <alignment vertical="center"/>
    </xf>
    <xf numFmtId="177" fontId="15" fillId="0" borderId="4" xfId="1" applyNumberFormat="1" applyFont="1" applyBorder="1" applyAlignment="1">
      <alignment horizontal="center" vertical="center"/>
    </xf>
    <xf numFmtId="177" fontId="15" fillId="0" borderId="1" xfId="1" applyNumberFormat="1" applyFont="1" applyBorder="1" applyAlignment="1">
      <alignment horizontal="center" vertical="center"/>
    </xf>
    <xf numFmtId="0" fontId="21" fillId="2" borderId="0" xfId="1" applyFont="1" applyFill="1">
      <alignment vertical="center"/>
    </xf>
    <xf numFmtId="0" fontId="21" fillId="0" borderId="0" xfId="0" applyFont="1">
      <alignment vertical="center"/>
    </xf>
    <xf numFmtId="0" fontId="22" fillId="6" borderId="0" xfId="0" applyFont="1" applyFill="1" applyAlignment="1"/>
    <xf numFmtId="0" fontId="12" fillId="2" borderId="0" xfId="1" applyFont="1" applyFill="1" applyAlignment="1">
      <alignment horizontal="left" vertical="center" wrapText="1"/>
    </xf>
    <xf numFmtId="0" fontId="2" fillId="2" borderId="0" xfId="1" applyFont="1" applyFill="1">
      <alignment vertical="center"/>
    </xf>
    <xf numFmtId="177" fontId="6" fillId="4" borderId="1" xfId="1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</cellXfs>
  <cellStyles count="4">
    <cellStyle name="표준" xfId="0" builtinId="0"/>
    <cellStyle name="표준 2" xfId="1" xr:uid="{00000000-0005-0000-0000-000001000000}"/>
    <cellStyle name="표준 2 2" xfId="3" xr:uid="{00000000-0005-0000-0000-000003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2552700" cy="1038225"/>
    <xdr:pic>
      <xdr:nvPicPr>
        <xdr:cNvPr id="3" name="그림 5" descr="메일로고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0"/>
          <a:ext cx="2552700" cy="103822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view="pageBreakPreview" zoomScaleNormal="100" zoomScaleSheetLayoutView="100" workbookViewId="0">
      <selection activeCell="F16" sqref="F16"/>
    </sheetView>
  </sheetViews>
  <sheetFormatPr defaultRowHeight="20.149999999999999" customHeight="1"/>
  <cols>
    <col min="1" max="1" width="3.83203125" style="1" customWidth="1"/>
    <col min="2" max="2" width="29.33203125" style="1" customWidth="1"/>
    <col min="3" max="3" width="23" style="2" customWidth="1"/>
    <col min="4" max="4" width="8.5" style="1" customWidth="1"/>
    <col min="5" max="5" width="23.08203125" style="1" customWidth="1"/>
    <col min="6" max="7" width="33.58203125" style="1" customWidth="1"/>
    <col min="8" max="8" width="11.75" style="1" customWidth="1"/>
    <col min="9" max="9" width="12.83203125" style="1" bestFit="1" customWidth="1"/>
    <col min="10" max="11" width="11.5" style="1" bestFit="1" customWidth="1"/>
    <col min="12" max="12" width="9.25" style="1" bestFit="1" customWidth="1"/>
    <col min="13" max="14" width="9" style="1" customWidth="1"/>
    <col min="15" max="16" width="9.25" style="1" bestFit="1" customWidth="1"/>
    <col min="17" max="258" width="9" style="1" customWidth="1"/>
    <col min="259" max="259" width="3.83203125" style="1" customWidth="1"/>
    <col min="260" max="260" width="29.33203125" style="1" customWidth="1"/>
    <col min="261" max="261" width="23" style="1" customWidth="1"/>
    <col min="262" max="262" width="23.08203125" style="1" customWidth="1"/>
    <col min="263" max="263" width="33" style="1" customWidth="1"/>
    <col min="264" max="264" width="7.08203125" style="1" customWidth="1"/>
    <col min="265" max="265" width="12.83203125" style="1" bestFit="1" customWidth="1"/>
    <col min="266" max="266" width="11" style="1" bestFit="1" customWidth="1"/>
    <col min="267" max="267" width="10.58203125" style="1" bestFit="1" customWidth="1"/>
    <col min="268" max="514" width="9" style="1" customWidth="1"/>
    <col min="515" max="515" width="3.83203125" style="1" customWidth="1"/>
    <col min="516" max="516" width="29.33203125" style="1" customWidth="1"/>
    <col min="517" max="517" width="23" style="1" customWidth="1"/>
    <col min="518" max="518" width="23.08203125" style="1" customWidth="1"/>
    <col min="519" max="519" width="33" style="1" customWidth="1"/>
    <col min="520" max="520" width="7.08203125" style="1" customWidth="1"/>
    <col min="521" max="521" width="12.83203125" style="1" bestFit="1" customWidth="1"/>
    <col min="522" max="522" width="11" style="1" bestFit="1" customWidth="1"/>
    <col min="523" max="523" width="10.58203125" style="1" bestFit="1" customWidth="1"/>
    <col min="524" max="770" width="9" style="1" customWidth="1"/>
    <col min="771" max="771" width="3.83203125" style="1" customWidth="1"/>
    <col min="772" max="772" width="29.33203125" style="1" customWidth="1"/>
    <col min="773" max="773" width="23" style="1" customWidth="1"/>
    <col min="774" max="774" width="23.08203125" style="1" customWidth="1"/>
    <col min="775" max="775" width="33" style="1" customWidth="1"/>
    <col min="776" max="776" width="7.08203125" style="1" customWidth="1"/>
    <col min="777" max="777" width="12.83203125" style="1" bestFit="1" customWidth="1"/>
    <col min="778" max="778" width="11" style="1" bestFit="1" customWidth="1"/>
    <col min="779" max="779" width="10.58203125" style="1" bestFit="1" customWidth="1"/>
    <col min="780" max="1026" width="9" style="1" customWidth="1"/>
    <col min="1027" max="1027" width="3.83203125" style="1" customWidth="1"/>
    <col min="1028" max="1028" width="29.33203125" style="1" customWidth="1"/>
    <col min="1029" max="1029" width="23" style="1" customWidth="1"/>
    <col min="1030" max="1030" width="23.08203125" style="1" customWidth="1"/>
    <col min="1031" max="1031" width="33" style="1" customWidth="1"/>
    <col min="1032" max="1032" width="7.08203125" style="1" customWidth="1"/>
    <col min="1033" max="1033" width="12.83203125" style="1" bestFit="1" customWidth="1"/>
    <col min="1034" max="1034" width="11" style="1" bestFit="1" customWidth="1"/>
    <col min="1035" max="1035" width="10.58203125" style="1" bestFit="1" customWidth="1"/>
    <col min="1036" max="1282" width="9" style="1" customWidth="1"/>
    <col min="1283" max="1283" width="3.83203125" style="1" customWidth="1"/>
    <col min="1284" max="1284" width="29.33203125" style="1" customWidth="1"/>
    <col min="1285" max="1285" width="23" style="1" customWidth="1"/>
    <col min="1286" max="1286" width="23.08203125" style="1" customWidth="1"/>
    <col min="1287" max="1287" width="33" style="1" customWidth="1"/>
    <col min="1288" max="1288" width="7.08203125" style="1" customWidth="1"/>
    <col min="1289" max="1289" width="12.83203125" style="1" bestFit="1" customWidth="1"/>
    <col min="1290" max="1290" width="11" style="1" bestFit="1" customWidth="1"/>
    <col min="1291" max="1291" width="10.58203125" style="1" bestFit="1" customWidth="1"/>
    <col min="1292" max="1538" width="9" style="1" customWidth="1"/>
    <col min="1539" max="1539" width="3.83203125" style="1" customWidth="1"/>
    <col min="1540" max="1540" width="29.33203125" style="1" customWidth="1"/>
    <col min="1541" max="1541" width="23" style="1" customWidth="1"/>
    <col min="1542" max="1542" width="23.08203125" style="1" customWidth="1"/>
    <col min="1543" max="1543" width="33" style="1" customWidth="1"/>
    <col min="1544" max="1544" width="7.08203125" style="1" customWidth="1"/>
    <col min="1545" max="1545" width="12.83203125" style="1" bestFit="1" customWidth="1"/>
    <col min="1546" max="1546" width="11" style="1" bestFit="1" customWidth="1"/>
    <col min="1547" max="1547" width="10.58203125" style="1" bestFit="1" customWidth="1"/>
    <col min="1548" max="1794" width="9" style="1" customWidth="1"/>
    <col min="1795" max="1795" width="3.83203125" style="1" customWidth="1"/>
    <col min="1796" max="1796" width="29.33203125" style="1" customWidth="1"/>
    <col min="1797" max="1797" width="23" style="1" customWidth="1"/>
    <col min="1798" max="1798" width="23.08203125" style="1" customWidth="1"/>
    <col min="1799" max="1799" width="33" style="1" customWidth="1"/>
    <col min="1800" max="1800" width="7.08203125" style="1" customWidth="1"/>
    <col min="1801" max="1801" width="12.83203125" style="1" bestFit="1" customWidth="1"/>
    <col min="1802" max="1802" width="11" style="1" bestFit="1" customWidth="1"/>
    <col min="1803" max="1803" width="10.58203125" style="1" bestFit="1" customWidth="1"/>
    <col min="1804" max="2050" width="9" style="1" customWidth="1"/>
    <col min="2051" max="2051" width="3.83203125" style="1" customWidth="1"/>
    <col min="2052" max="2052" width="29.33203125" style="1" customWidth="1"/>
    <col min="2053" max="2053" width="23" style="1" customWidth="1"/>
    <col min="2054" max="2054" width="23.08203125" style="1" customWidth="1"/>
    <col min="2055" max="2055" width="33" style="1" customWidth="1"/>
    <col min="2056" max="2056" width="7.08203125" style="1" customWidth="1"/>
    <col min="2057" max="2057" width="12.83203125" style="1" bestFit="1" customWidth="1"/>
    <col min="2058" max="2058" width="11" style="1" bestFit="1" customWidth="1"/>
    <col min="2059" max="2059" width="10.58203125" style="1" bestFit="1" customWidth="1"/>
    <col min="2060" max="2306" width="9" style="1" customWidth="1"/>
    <col min="2307" max="2307" width="3.83203125" style="1" customWidth="1"/>
    <col min="2308" max="2308" width="29.33203125" style="1" customWidth="1"/>
    <col min="2309" max="2309" width="23" style="1" customWidth="1"/>
    <col min="2310" max="2310" width="23.08203125" style="1" customWidth="1"/>
    <col min="2311" max="2311" width="33" style="1" customWidth="1"/>
    <col min="2312" max="2312" width="7.08203125" style="1" customWidth="1"/>
    <col min="2313" max="2313" width="12.83203125" style="1" bestFit="1" customWidth="1"/>
    <col min="2314" max="2314" width="11" style="1" bestFit="1" customWidth="1"/>
    <col min="2315" max="2315" width="10.58203125" style="1" bestFit="1" customWidth="1"/>
    <col min="2316" max="2562" width="9" style="1" customWidth="1"/>
    <col min="2563" max="2563" width="3.83203125" style="1" customWidth="1"/>
    <col min="2564" max="2564" width="29.33203125" style="1" customWidth="1"/>
    <col min="2565" max="2565" width="23" style="1" customWidth="1"/>
    <col min="2566" max="2566" width="23.08203125" style="1" customWidth="1"/>
    <col min="2567" max="2567" width="33" style="1" customWidth="1"/>
    <col min="2568" max="2568" width="7.08203125" style="1" customWidth="1"/>
    <col min="2569" max="2569" width="12.83203125" style="1" bestFit="1" customWidth="1"/>
    <col min="2570" max="2570" width="11" style="1" bestFit="1" customWidth="1"/>
    <col min="2571" max="2571" width="10.58203125" style="1" bestFit="1" customWidth="1"/>
    <col min="2572" max="2818" width="9" style="1" customWidth="1"/>
    <col min="2819" max="2819" width="3.83203125" style="1" customWidth="1"/>
    <col min="2820" max="2820" width="29.33203125" style="1" customWidth="1"/>
    <col min="2821" max="2821" width="23" style="1" customWidth="1"/>
    <col min="2822" max="2822" width="23.08203125" style="1" customWidth="1"/>
    <col min="2823" max="2823" width="33" style="1" customWidth="1"/>
    <col min="2824" max="2824" width="7.08203125" style="1" customWidth="1"/>
    <col min="2825" max="2825" width="12.83203125" style="1" bestFit="1" customWidth="1"/>
    <col min="2826" max="2826" width="11" style="1" bestFit="1" customWidth="1"/>
    <col min="2827" max="2827" width="10.58203125" style="1" bestFit="1" customWidth="1"/>
    <col min="2828" max="3074" width="9" style="1" customWidth="1"/>
    <col min="3075" max="3075" width="3.83203125" style="1" customWidth="1"/>
    <col min="3076" max="3076" width="29.33203125" style="1" customWidth="1"/>
    <col min="3077" max="3077" width="23" style="1" customWidth="1"/>
    <col min="3078" max="3078" width="23.08203125" style="1" customWidth="1"/>
    <col min="3079" max="3079" width="33" style="1" customWidth="1"/>
    <col min="3080" max="3080" width="7.08203125" style="1" customWidth="1"/>
    <col min="3081" max="3081" width="12.83203125" style="1" bestFit="1" customWidth="1"/>
    <col min="3082" max="3082" width="11" style="1" bestFit="1" customWidth="1"/>
    <col min="3083" max="3083" width="10.58203125" style="1" bestFit="1" customWidth="1"/>
    <col min="3084" max="3330" width="9" style="1" customWidth="1"/>
    <col min="3331" max="3331" width="3.83203125" style="1" customWidth="1"/>
    <col min="3332" max="3332" width="29.33203125" style="1" customWidth="1"/>
    <col min="3333" max="3333" width="23" style="1" customWidth="1"/>
    <col min="3334" max="3334" width="23.08203125" style="1" customWidth="1"/>
    <col min="3335" max="3335" width="33" style="1" customWidth="1"/>
    <col min="3336" max="3336" width="7.08203125" style="1" customWidth="1"/>
    <col min="3337" max="3337" width="12.83203125" style="1" bestFit="1" customWidth="1"/>
    <col min="3338" max="3338" width="11" style="1" bestFit="1" customWidth="1"/>
    <col min="3339" max="3339" width="10.58203125" style="1" bestFit="1" customWidth="1"/>
    <col min="3340" max="3586" width="9" style="1" customWidth="1"/>
    <col min="3587" max="3587" width="3.83203125" style="1" customWidth="1"/>
    <col min="3588" max="3588" width="29.33203125" style="1" customWidth="1"/>
    <col min="3589" max="3589" width="23" style="1" customWidth="1"/>
    <col min="3590" max="3590" width="23.08203125" style="1" customWidth="1"/>
    <col min="3591" max="3591" width="33" style="1" customWidth="1"/>
    <col min="3592" max="3592" width="7.08203125" style="1" customWidth="1"/>
    <col min="3593" max="3593" width="12.83203125" style="1" bestFit="1" customWidth="1"/>
    <col min="3594" max="3594" width="11" style="1" bestFit="1" customWidth="1"/>
    <col min="3595" max="3595" width="10.58203125" style="1" bestFit="1" customWidth="1"/>
    <col min="3596" max="3842" width="9" style="1" customWidth="1"/>
    <col min="3843" max="3843" width="3.83203125" style="1" customWidth="1"/>
    <col min="3844" max="3844" width="29.33203125" style="1" customWidth="1"/>
    <col min="3845" max="3845" width="23" style="1" customWidth="1"/>
    <col min="3846" max="3846" width="23.08203125" style="1" customWidth="1"/>
    <col min="3847" max="3847" width="33" style="1" customWidth="1"/>
    <col min="3848" max="3848" width="7.08203125" style="1" customWidth="1"/>
    <col min="3849" max="3849" width="12.83203125" style="1" bestFit="1" customWidth="1"/>
    <col min="3850" max="3850" width="11" style="1" bestFit="1" customWidth="1"/>
    <col min="3851" max="3851" width="10.58203125" style="1" bestFit="1" customWidth="1"/>
    <col min="3852" max="4098" width="9" style="1" customWidth="1"/>
    <col min="4099" max="4099" width="3.83203125" style="1" customWidth="1"/>
    <col min="4100" max="4100" width="29.33203125" style="1" customWidth="1"/>
    <col min="4101" max="4101" width="23" style="1" customWidth="1"/>
    <col min="4102" max="4102" width="23.08203125" style="1" customWidth="1"/>
    <col min="4103" max="4103" width="33" style="1" customWidth="1"/>
    <col min="4104" max="4104" width="7.08203125" style="1" customWidth="1"/>
    <col min="4105" max="4105" width="12.83203125" style="1" bestFit="1" customWidth="1"/>
    <col min="4106" max="4106" width="11" style="1" bestFit="1" customWidth="1"/>
    <col min="4107" max="4107" width="10.58203125" style="1" bestFit="1" customWidth="1"/>
    <col min="4108" max="4354" width="9" style="1" customWidth="1"/>
    <col min="4355" max="4355" width="3.83203125" style="1" customWidth="1"/>
    <col min="4356" max="4356" width="29.33203125" style="1" customWidth="1"/>
    <col min="4357" max="4357" width="23" style="1" customWidth="1"/>
    <col min="4358" max="4358" width="23.08203125" style="1" customWidth="1"/>
    <col min="4359" max="4359" width="33" style="1" customWidth="1"/>
    <col min="4360" max="4360" width="7.08203125" style="1" customWidth="1"/>
    <col min="4361" max="4361" width="12.83203125" style="1" bestFit="1" customWidth="1"/>
    <col min="4362" max="4362" width="11" style="1" bestFit="1" customWidth="1"/>
    <col min="4363" max="4363" width="10.58203125" style="1" bestFit="1" customWidth="1"/>
    <col min="4364" max="4610" width="9" style="1" customWidth="1"/>
    <col min="4611" max="4611" width="3.83203125" style="1" customWidth="1"/>
    <col min="4612" max="4612" width="29.33203125" style="1" customWidth="1"/>
    <col min="4613" max="4613" width="23" style="1" customWidth="1"/>
    <col min="4614" max="4614" width="23.08203125" style="1" customWidth="1"/>
    <col min="4615" max="4615" width="33" style="1" customWidth="1"/>
    <col min="4616" max="4616" width="7.08203125" style="1" customWidth="1"/>
    <col min="4617" max="4617" width="12.83203125" style="1" bestFit="1" customWidth="1"/>
    <col min="4618" max="4618" width="11" style="1" bestFit="1" customWidth="1"/>
    <col min="4619" max="4619" width="10.58203125" style="1" bestFit="1" customWidth="1"/>
    <col min="4620" max="4866" width="9" style="1" customWidth="1"/>
    <col min="4867" max="4867" width="3.83203125" style="1" customWidth="1"/>
    <col min="4868" max="4868" width="29.33203125" style="1" customWidth="1"/>
    <col min="4869" max="4869" width="23" style="1" customWidth="1"/>
    <col min="4870" max="4870" width="23.08203125" style="1" customWidth="1"/>
    <col min="4871" max="4871" width="33" style="1" customWidth="1"/>
    <col min="4872" max="4872" width="7.08203125" style="1" customWidth="1"/>
    <col min="4873" max="4873" width="12.83203125" style="1" bestFit="1" customWidth="1"/>
    <col min="4874" max="4874" width="11" style="1" bestFit="1" customWidth="1"/>
    <col min="4875" max="4875" width="10.58203125" style="1" bestFit="1" customWidth="1"/>
    <col min="4876" max="5122" width="9" style="1" customWidth="1"/>
    <col min="5123" max="5123" width="3.83203125" style="1" customWidth="1"/>
    <col min="5124" max="5124" width="29.33203125" style="1" customWidth="1"/>
    <col min="5125" max="5125" width="23" style="1" customWidth="1"/>
    <col min="5126" max="5126" width="23.08203125" style="1" customWidth="1"/>
    <col min="5127" max="5127" width="33" style="1" customWidth="1"/>
    <col min="5128" max="5128" width="7.08203125" style="1" customWidth="1"/>
    <col min="5129" max="5129" width="12.83203125" style="1" bestFit="1" customWidth="1"/>
    <col min="5130" max="5130" width="11" style="1" bestFit="1" customWidth="1"/>
    <col min="5131" max="5131" width="10.58203125" style="1" bestFit="1" customWidth="1"/>
    <col min="5132" max="5378" width="9" style="1" customWidth="1"/>
    <col min="5379" max="5379" width="3.83203125" style="1" customWidth="1"/>
    <col min="5380" max="5380" width="29.33203125" style="1" customWidth="1"/>
    <col min="5381" max="5381" width="23" style="1" customWidth="1"/>
    <col min="5382" max="5382" width="23.08203125" style="1" customWidth="1"/>
    <col min="5383" max="5383" width="33" style="1" customWidth="1"/>
    <col min="5384" max="5384" width="7.08203125" style="1" customWidth="1"/>
    <col min="5385" max="5385" width="12.83203125" style="1" bestFit="1" customWidth="1"/>
    <col min="5386" max="5386" width="11" style="1" bestFit="1" customWidth="1"/>
    <col min="5387" max="5387" width="10.58203125" style="1" bestFit="1" customWidth="1"/>
    <col min="5388" max="5634" width="9" style="1" customWidth="1"/>
    <col min="5635" max="5635" width="3.83203125" style="1" customWidth="1"/>
    <col min="5636" max="5636" width="29.33203125" style="1" customWidth="1"/>
    <col min="5637" max="5637" width="23" style="1" customWidth="1"/>
    <col min="5638" max="5638" width="23.08203125" style="1" customWidth="1"/>
    <col min="5639" max="5639" width="33" style="1" customWidth="1"/>
    <col min="5640" max="5640" width="7.08203125" style="1" customWidth="1"/>
    <col min="5641" max="5641" width="12.83203125" style="1" bestFit="1" customWidth="1"/>
    <col min="5642" max="5642" width="11" style="1" bestFit="1" customWidth="1"/>
    <col min="5643" max="5643" width="10.58203125" style="1" bestFit="1" customWidth="1"/>
    <col min="5644" max="5890" width="9" style="1" customWidth="1"/>
    <col min="5891" max="5891" width="3.83203125" style="1" customWidth="1"/>
    <col min="5892" max="5892" width="29.33203125" style="1" customWidth="1"/>
    <col min="5893" max="5893" width="23" style="1" customWidth="1"/>
    <col min="5894" max="5894" width="23.08203125" style="1" customWidth="1"/>
    <col min="5895" max="5895" width="33" style="1" customWidth="1"/>
    <col min="5896" max="5896" width="7.08203125" style="1" customWidth="1"/>
    <col min="5897" max="5897" width="12.83203125" style="1" bestFit="1" customWidth="1"/>
    <col min="5898" max="5898" width="11" style="1" bestFit="1" customWidth="1"/>
    <col min="5899" max="5899" width="10.58203125" style="1" bestFit="1" customWidth="1"/>
    <col min="5900" max="6146" width="9" style="1" customWidth="1"/>
    <col min="6147" max="6147" width="3.83203125" style="1" customWidth="1"/>
    <col min="6148" max="6148" width="29.33203125" style="1" customWidth="1"/>
    <col min="6149" max="6149" width="23" style="1" customWidth="1"/>
    <col min="6150" max="6150" width="23.08203125" style="1" customWidth="1"/>
    <col min="6151" max="6151" width="33" style="1" customWidth="1"/>
    <col min="6152" max="6152" width="7.08203125" style="1" customWidth="1"/>
    <col min="6153" max="6153" width="12.83203125" style="1" bestFit="1" customWidth="1"/>
    <col min="6154" max="6154" width="11" style="1" bestFit="1" customWidth="1"/>
    <col min="6155" max="6155" width="10.58203125" style="1" bestFit="1" customWidth="1"/>
    <col min="6156" max="6402" width="9" style="1" customWidth="1"/>
    <col min="6403" max="6403" width="3.83203125" style="1" customWidth="1"/>
    <col min="6404" max="6404" width="29.33203125" style="1" customWidth="1"/>
    <col min="6405" max="6405" width="23" style="1" customWidth="1"/>
    <col min="6406" max="6406" width="23.08203125" style="1" customWidth="1"/>
    <col min="6407" max="6407" width="33" style="1" customWidth="1"/>
    <col min="6408" max="6408" width="7.08203125" style="1" customWidth="1"/>
    <col min="6409" max="6409" width="12.83203125" style="1" bestFit="1" customWidth="1"/>
    <col min="6410" max="6410" width="11" style="1" bestFit="1" customWidth="1"/>
    <col min="6411" max="6411" width="10.58203125" style="1" bestFit="1" customWidth="1"/>
    <col min="6412" max="6658" width="9" style="1" customWidth="1"/>
    <col min="6659" max="6659" width="3.83203125" style="1" customWidth="1"/>
    <col min="6660" max="6660" width="29.33203125" style="1" customWidth="1"/>
    <col min="6661" max="6661" width="23" style="1" customWidth="1"/>
    <col min="6662" max="6662" width="23.08203125" style="1" customWidth="1"/>
    <col min="6663" max="6663" width="33" style="1" customWidth="1"/>
    <col min="6664" max="6664" width="7.08203125" style="1" customWidth="1"/>
    <col min="6665" max="6665" width="12.83203125" style="1" bestFit="1" customWidth="1"/>
    <col min="6666" max="6666" width="11" style="1" bestFit="1" customWidth="1"/>
    <col min="6667" max="6667" width="10.58203125" style="1" bestFit="1" customWidth="1"/>
    <col min="6668" max="6914" width="9" style="1" customWidth="1"/>
    <col min="6915" max="6915" width="3.83203125" style="1" customWidth="1"/>
    <col min="6916" max="6916" width="29.33203125" style="1" customWidth="1"/>
    <col min="6917" max="6917" width="23" style="1" customWidth="1"/>
    <col min="6918" max="6918" width="23.08203125" style="1" customWidth="1"/>
    <col min="6919" max="6919" width="33" style="1" customWidth="1"/>
    <col min="6920" max="6920" width="7.08203125" style="1" customWidth="1"/>
    <col min="6921" max="6921" width="12.83203125" style="1" bestFit="1" customWidth="1"/>
    <col min="6922" max="6922" width="11" style="1" bestFit="1" customWidth="1"/>
    <col min="6923" max="6923" width="10.58203125" style="1" bestFit="1" customWidth="1"/>
    <col min="6924" max="7170" width="9" style="1" customWidth="1"/>
    <col min="7171" max="7171" width="3.83203125" style="1" customWidth="1"/>
    <col min="7172" max="7172" width="29.33203125" style="1" customWidth="1"/>
    <col min="7173" max="7173" width="23" style="1" customWidth="1"/>
    <col min="7174" max="7174" width="23.08203125" style="1" customWidth="1"/>
    <col min="7175" max="7175" width="33" style="1" customWidth="1"/>
    <col min="7176" max="7176" width="7.08203125" style="1" customWidth="1"/>
    <col min="7177" max="7177" width="12.83203125" style="1" bestFit="1" customWidth="1"/>
    <col min="7178" max="7178" width="11" style="1" bestFit="1" customWidth="1"/>
    <col min="7179" max="7179" width="10.58203125" style="1" bestFit="1" customWidth="1"/>
    <col min="7180" max="7426" width="9" style="1" customWidth="1"/>
    <col min="7427" max="7427" width="3.83203125" style="1" customWidth="1"/>
    <col min="7428" max="7428" width="29.33203125" style="1" customWidth="1"/>
    <col min="7429" max="7429" width="23" style="1" customWidth="1"/>
    <col min="7430" max="7430" width="23.08203125" style="1" customWidth="1"/>
    <col min="7431" max="7431" width="33" style="1" customWidth="1"/>
    <col min="7432" max="7432" width="7.08203125" style="1" customWidth="1"/>
    <col min="7433" max="7433" width="12.83203125" style="1" bestFit="1" customWidth="1"/>
    <col min="7434" max="7434" width="11" style="1" bestFit="1" customWidth="1"/>
    <col min="7435" max="7435" width="10.58203125" style="1" bestFit="1" customWidth="1"/>
    <col min="7436" max="7682" width="9" style="1" customWidth="1"/>
    <col min="7683" max="7683" width="3.83203125" style="1" customWidth="1"/>
    <col min="7684" max="7684" width="29.33203125" style="1" customWidth="1"/>
    <col min="7685" max="7685" width="23" style="1" customWidth="1"/>
    <col min="7686" max="7686" width="23.08203125" style="1" customWidth="1"/>
    <col min="7687" max="7687" width="33" style="1" customWidth="1"/>
    <col min="7688" max="7688" width="7.08203125" style="1" customWidth="1"/>
    <col min="7689" max="7689" width="12.83203125" style="1" bestFit="1" customWidth="1"/>
    <col min="7690" max="7690" width="11" style="1" bestFit="1" customWidth="1"/>
    <col min="7691" max="7691" width="10.58203125" style="1" bestFit="1" customWidth="1"/>
    <col min="7692" max="7938" width="9" style="1" customWidth="1"/>
    <col min="7939" max="7939" width="3.83203125" style="1" customWidth="1"/>
    <col min="7940" max="7940" width="29.33203125" style="1" customWidth="1"/>
    <col min="7941" max="7941" width="23" style="1" customWidth="1"/>
    <col min="7942" max="7942" width="23.08203125" style="1" customWidth="1"/>
    <col min="7943" max="7943" width="33" style="1" customWidth="1"/>
    <col min="7944" max="7944" width="7.08203125" style="1" customWidth="1"/>
    <col min="7945" max="7945" width="12.83203125" style="1" bestFit="1" customWidth="1"/>
    <col min="7946" max="7946" width="11" style="1" bestFit="1" customWidth="1"/>
    <col min="7947" max="7947" width="10.58203125" style="1" bestFit="1" customWidth="1"/>
    <col min="7948" max="8194" width="9" style="1" customWidth="1"/>
    <col min="8195" max="8195" width="3.83203125" style="1" customWidth="1"/>
    <col min="8196" max="8196" width="29.33203125" style="1" customWidth="1"/>
    <col min="8197" max="8197" width="23" style="1" customWidth="1"/>
    <col min="8198" max="8198" width="23.08203125" style="1" customWidth="1"/>
    <col min="8199" max="8199" width="33" style="1" customWidth="1"/>
    <col min="8200" max="8200" width="7.08203125" style="1" customWidth="1"/>
    <col min="8201" max="8201" width="12.83203125" style="1" bestFit="1" customWidth="1"/>
    <col min="8202" max="8202" width="11" style="1" bestFit="1" customWidth="1"/>
    <col min="8203" max="8203" width="10.58203125" style="1" bestFit="1" customWidth="1"/>
    <col min="8204" max="8450" width="9" style="1" customWidth="1"/>
    <col min="8451" max="8451" width="3.83203125" style="1" customWidth="1"/>
    <col min="8452" max="8452" width="29.33203125" style="1" customWidth="1"/>
    <col min="8453" max="8453" width="23" style="1" customWidth="1"/>
    <col min="8454" max="8454" width="23.08203125" style="1" customWidth="1"/>
    <col min="8455" max="8455" width="33" style="1" customWidth="1"/>
    <col min="8456" max="8456" width="7.08203125" style="1" customWidth="1"/>
    <col min="8457" max="8457" width="12.83203125" style="1" bestFit="1" customWidth="1"/>
    <col min="8458" max="8458" width="11" style="1" bestFit="1" customWidth="1"/>
    <col min="8459" max="8459" width="10.58203125" style="1" bestFit="1" customWidth="1"/>
    <col min="8460" max="8706" width="9" style="1" customWidth="1"/>
    <col min="8707" max="8707" width="3.83203125" style="1" customWidth="1"/>
    <col min="8708" max="8708" width="29.33203125" style="1" customWidth="1"/>
    <col min="8709" max="8709" width="23" style="1" customWidth="1"/>
    <col min="8710" max="8710" width="23.08203125" style="1" customWidth="1"/>
    <col min="8711" max="8711" width="33" style="1" customWidth="1"/>
    <col min="8712" max="8712" width="7.08203125" style="1" customWidth="1"/>
    <col min="8713" max="8713" width="12.83203125" style="1" bestFit="1" customWidth="1"/>
    <col min="8714" max="8714" width="11" style="1" bestFit="1" customWidth="1"/>
    <col min="8715" max="8715" width="10.58203125" style="1" bestFit="1" customWidth="1"/>
    <col min="8716" max="8962" width="9" style="1" customWidth="1"/>
    <col min="8963" max="8963" width="3.83203125" style="1" customWidth="1"/>
    <col min="8964" max="8964" width="29.33203125" style="1" customWidth="1"/>
    <col min="8965" max="8965" width="23" style="1" customWidth="1"/>
    <col min="8966" max="8966" width="23.08203125" style="1" customWidth="1"/>
    <col min="8967" max="8967" width="33" style="1" customWidth="1"/>
    <col min="8968" max="8968" width="7.08203125" style="1" customWidth="1"/>
    <col min="8969" max="8969" width="12.83203125" style="1" bestFit="1" customWidth="1"/>
    <col min="8970" max="8970" width="11" style="1" bestFit="1" customWidth="1"/>
    <col min="8971" max="8971" width="10.58203125" style="1" bestFit="1" customWidth="1"/>
    <col min="8972" max="9218" width="9" style="1" customWidth="1"/>
    <col min="9219" max="9219" width="3.83203125" style="1" customWidth="1"/>
    <col min="9220" max="9220" width="29.33203125" style="1" customWidth="1"/>
    <col min="9221" max="9221" width="23" style="1" customWidth="1"/>
    <col min="9222" max="9222" width="23.08203125" style="1" customWidth="1"/>
    <col min="9223" max="9223" width="33" style="1" customWidth="1"/>
    <col min="9224" max="9224" width="7.08203125" style="1" customWidth="1"/>
    <col min="9225" max="9225" width="12.83203125" style="1" bestFit="1" customWidth="1"/>
    <col min="9226" max="9226" width="11" style="1" bestFit="1" customWidth="1"/>
    <col min="9227" max="9227" width="10.58203125" style="1" bestFit="1" customWidth="1"/>
    <col min="9228" max="9474" width="9" style="1" customWidth="1"/>
    <col min="9475" max="9475" width="3.83203125" style="1" customWidth="1"/>
    <col min="9476" max="9476" width="29.33203125" style="1" customWidth="1"/>
    <col min="9477" max="9477" width="23" style="1" customWidth="1"/>
    <col min="9478" max="9478" width="23.08203125" style="1" customWidth="1"/>
    <col min="9479" max="9479" width="33" style="1" customWidth="1"/>
    <col min="9480" max="9480" width="7.08203125" style="1" customWidth="1"/>
    <col min="9481" max="9481" width="12.83203125" style="1" bestFit="1" customWidth="1"/>
    <col min="9482" max="9482" width="11" style="1" bestFit="1" customWidth="1"/>
    <col min="9483" max="9483" width="10.58203125" style="1" bestFit="1" customWidth="1"/>
    <col min="9484" max="9730" width="9" style="1" customWidth="1"/>
    <col min="9731" max="9731" width="3.83203125" style="1" customWidth="1"/>
    <col min="9732" max="9732" width="29.33203125" style="1" customWidth="1"/>
    <col min="9733" max="9733" width="23" style="1" customWidth="1"/>
    <col min="9734" max="9734" width="23.08203125" style="1" customWidth="1"/>
    <col min="9735" max="9735" width="33" style="1" customWidth="1"/>
    <col min="9736" max="9736" width="7.08203125" style="1" customWidth="1"/>
    <col min="9737" max="9737" width="12.83203125" style="1" bestFit="1" customWidth="1"/>
    <col min="9738" max="9738" width="11" style="1" bestFit="1" customWidth="1"/>
    <col min="9739" max="9739" width="10.58203125" style="1" bestFit="1" customWidth="1"/>
    <col min="9740" max="9986" width="9" style="1" customWidth="1"/>
    <col min="9987" max="9987" width="3.83203125" style="1" customWidth="1"/>
    <col min="9988" max="9988" width="29.33203125" style="1" customWidth="1"/>
    <col min="9989" max="9989" width="23" style="1" customWidth="1"/>
    <col min="9990" max="9990" width="23.08203125" style="1" customWidth="1"/>
    <col min="9991" max="9991" width="33" style="1" customWidth="1"/>
    <col min="9992" max="9992" width="7.08203125" style="1" customWidth="1"/>
    <col min="9993" max="9993" width="12.83203125" style="1" bestFit="1" customWidth="1"/>
    <col min="9994" max="9994" width="11" style="1" bestFit="1" customWidth="1"/>
    <col min="9995" max="9995" width="10.58203125" style="1" bestFit="1" customWidth="1"/>
    <col min="9996" max="10242" width="9" style="1" customWidth="1"/>
    <col min="10243" max="10243" width="3.83203125" style="1" customWidth="1"/>
    <col min="10244" max="10244" width="29.33203125" style="1" customWidth="1"/>
    <col min="10245" max="10245" width="23" style="1" customWidth="1"/>
    <col min="10246" max="10246" width="23.08203125" style="1" customWidth="1"/>
    <col min="10247" max="10247" width="33" style="1" customWidth="1"/>
    <col min="10248" max="10248" width="7.08203125" style="1" customWidth="1"/>
    <col min="10249" max="10249" width="12.83203125" style="1" bestFit="1" customWidth="1"/>
    <col min="10250" max="10250" width="11" style="1" bestFit="1" customWidth="1"/>
    <col min="10251" max="10251" width="10.58203125" style="1" bestFit="1" customWidth="1"/>
    <col min="10252" max="10498" width="9" style="1" customWidth="1"/>
    <col min="10499" max="10499" width="3.83203125" style="1" customWidth="1"/>
    <col min="10500" max="10500" width="29.33203125" style="1" customWidth="1"/>
    <col min="10501" max="10501" width="23" style="1" customWidth="1"/>
    <col min="10502" max="10502" width="23.08203125" style="1" customWidth="1"/>
    <col min="10503" max="10503" width="33" style="1" customWidth="1"/>
    <col min="10504" max="10504" width="7.08203125" style="1" customWidth="1"/>
    <col min="10505" max="10505" width="12.83203125" style="1" bestFit="1" customWidth="1"/>
    <col min="10506" max="10506" width="11" style="1" bestFit="1" customWidth="1"/>
    <col min="10507" max="10507" width="10.58203125" style="1" bestFit="1" customWidth="1"/>
    <col min="10508" max="10754" width="9" style="1" customWidth="1"/>
    <col min="10755" max="10755" width="3.83203125" style="1" customWidth="1"/>
    <col min="10756" max="10756" width="29.33203125" style="1" customWidth="1"/>
    <col min="10757" max="10757" width="23" style="1" customWidth="1"/>
    <col min="10758" max="10758" width="23.08203125" style="1" customWidth="1"/>
    <col min="10759" max="10759" width="33" style="1" customWidth="1"/>
    <col min="10760" max="10760" width="7.08203125" style="1" customWidth="1"/>
    <col min="10761" max="10761" width="12.83203125" style="1" bestFit="1" customWidth="1"/>
    <col min="10762" max="10762" width="11" style="1" bestFit="1" customWidth="1"/>
    <col min="10763" max="10763" width="10.58203125" style="1" bestFit="1" customWidth="1"/>
    <col min="10764" max="11010" width="9" style="1" customWidth="1"/>
    <col min="11011" max="11011" width="3.83203125" style="1" customWidth="1"/>
    <col min="11012" max="11012" width="29.33203125" style="1" customWidth="1"/>
    <col min="11013" max="11013" width="23" style="1" customWidth="1"/>
    <col min="11014" max="11014" width="23.08203125" style="1" customWidth="1"/>
    <col min="11015" max="11015" width="33" style="1" customWidth="1"/>
    <col min="11016" max="11016" width="7.08203125" style="1" customWidth="1"/>
    <col min="11017" max="11017" width="12.83203125" style="1" bestFit="1" customWidth="1"/>
    <col min="11018" max="11018" width="11" style="1" bestFit="1" customWidth="1"/>
    <col min="11019" max="11019" width="10.58203125" style="1" bestFit="1" customWidth="1"/>
    <col min="11020" max="11266" width="9" style="1" customWidth="1"/>
    <col min="11267" max="11267" width="3.83203125" style="1" customWidth="1"/>
    <col min="11268" max="11268" width="29.33203125" style="1" customWidth="1"/>
    <col min="11269" max="11269" width="23" style="1" customWidth="1"/>
    <col min="11270" max="11270" width="23.08203125" style="1" customWidth="1"/>
    <col min="11271" max="11271" width="33" style="1" customWidth="1"/>
    <col min="11272" max="11272" width="7.08203125" style="1" customWidth="1"/>
    <col min="11273" max="11273" width="12.83203125" style="1" bestFit="1" customWidth="1"/>
    <col min="11274" max="11274" width="11" style="1" bestFit="1" customWidth="1"/>
    <col min="11275" max="11275" width="10.58203125" style="1" bestFit="1" customWidth="1"/>
    <col min="11276" max="11522" width="9" style="1" customWidth="1"/>
    <col min="11523" max="11523" width="3.83203125" style="1" customWidth="1"/>
    <col min="11524" max="11524" width="29.33203125" style="1" customWidth="1"/>
    <col min="11525" max="11525" width="23" style="1" customWidth="1"/>
    <col min="11526" max="11526" width="23.08203125" style="1" customWidth="1"/>
    <col min="11527" max="11527" width="33" style="1" customWidth="1"/>
    <col min="11528" max="11528" width="7.08203125" style="1" customWidth="1"/>
    <col min="11529" max="11529" width="12.83203125" style="1" bestFit="1" customWidth="1"/>
    <col min="11530" max="11530" width="11" style="1" bestFit="1" customWidth="1"/>
    <col min="11531" max="11531" width="10.58203125" style="1" bestFit="1" customWidth="1"/>
    <col min="11532" max="11778" width="9" style="1" customWidth="1"/>
    <col min="11779" max="11779" width="3.83203125" style="1" customWidth="1"/>
    <col min="11780" max="11780" width="29.33203125" style="1" customWidth="1"/>
    <col min="11781" max="11781" width="23" style="1" customWidth="1"/>
    <col min="11782" max="11782" width="23.08203125" style="1" customWidth="1"/>
    <col min="11783" max="11783" width="33" style="1" customWidth="1"/>
    <col min="11784" max="11784" width="7.08203125" style="1" customWidth="1"/>
    <col min="11785" max="11785" width="12.83203125" style="1" bestFit="1" customWidth="1"/>
    <col min="11786" max="11786" width="11" style="1" bestFit="1" customWidth="1"/>
    <col min="11787" max="11787" width="10.58203125" style="1" bestFit="1" customWidth="1"/>
    <col min="11788" max="12034" width="9" style="1" customWidth="1"/>
    <col min="12035" max="12035" width="3.83203125" style="1" customWidth="1"/>
    <col min="12036" max="12036" width="29.33203125" style="1" customWidth="1"/>
    <col min="12037" max="12037" width="23" style="1" customWidth="1"/>
    <col min="12038" max="12038" width="23.08203125" style="1" customWidth="1"/>
    <col min="12039" max="12039" width="33" style="1" customWidth="1"/>
    <col min="12040" max="12040" width="7.08203125" style="1" customWidth="1"/>
    <col min="12041" max="12041" width="12.83203125" style="1" bestFit="1" customWidth="1"/>
    <col min="12042" max="12042" width="11" style="1" bestFit="1" customWidth="1"/>
    <col min="12043" max="12043" width="10.58203125" style="1" bestFit="1" customWidth="1"/>
    <col min="12044" max="12290" width="9" style="1" customWidth="1"/>
    <col min="12291" max="12291" width="3.83203125" style="1" customWidth="1"/>
    <col min="12292" max="12292" width="29.33203125" style="1" customWidth="1"/>
    <col min="12293" max="12293" width="23" style="1" customWidth="1"/>
    <col min="12294" max="12294" width="23.08203125" style="1" customWidth="1"/>
    <col min="12295" max="12295" width="33" style="1" customWidth="1"/>
    <col min="12296" max="12296" width="7.08203125" style="1" customWidth="1"/>
    <col min="12297" max="12297" width="12.83203125" style="1" bestFit="1" customWidth="1"/>
    <col min="12298" max="12298" width="11" style="1" bestFit="1" customWidth="1"/>
    <col min="12299" max="12299" width="10.58203125" style="1" bestFit="1" customWidth="1"/>
    <col min="12300" max="12546" width="9" style="1" customWidth="1"/>
    <col min="12547" max="12547" width="3.83203125" style="1" customWidth="1"/>
    <col min="12548" max="12548" width="29.33203125" style="1" customWidth="1"/>
    <col min="12549" max="12549" width="23" style="1" customWidth="1"/>
    <col min="12550" max="12550" width="23.08203125" style="1" customWidth="1"/>
    <col min="12551" max="12551" width="33" style="1" customWidth="1"/>
    <col min="12552" max="12552" width="7.08203125" style="1" customWidth="1"/>
    <col min="12553" max="12553" width="12.83203125" style="1" bestFit="1" customWidth="1"/>
    <col min="12554" max="12554" width="11" style="1" bestFit="1" customWidth="1"/>
    <col min="12555" max="12555" width="10.58203125" style="1" bestFit="1" customWidth="1"/>
    <col min="12556" max="12802" width="9" style="1" customWidth="1"/>
    <col min="12803" max="12803" width="3.83203125" style="1" customWidth="1"/>
    <col min="12804" max="12804" width="29.33203125" style="1" customWidth="1"/>
    <col min="12805" max="12805" width="23" style="1" customWidth="1"/>
    <col min="12806" max="12806" width="23.08203125" style="1" customWidth="1"/>
    <col min="12807" max="12807" width="33" style="1" customWidth="1"/>
    <col min="12808" max="12808" width="7.08203125" style="1" customWidth="1"/>
    <col min="12809" max="12809" width="12.83203125" style="1" bestFit="1" customWidth="1"/>
    <col min="12810" max="12810" width="11" style="1" bestFit="1" customWidth="1"/>
    <col min="12811" max="12811" width="10.58203125" style="1" bestFit="1" customWidth="1"/>
    <col min="12812" max="13058" width="9" style="1" customWidth="1"/>
    <col min="13059" max="13059" width="3.83203125" style="1" customWidth="1"/>
    <col min="13060" max="13060" width="29.33203125" style="1" customWidth="1"/>
    <col min="13061" max="13061" width="23" style="1" customWidth="1"/>
    <col min="13062" max="13062" width="23.08203125" style="1" customWidth="1"/>
    <col min="13063" max="13063" width="33" style="1" customWidth="1"/>
    <col min="13064" max="13064" width="7.08203125" style="1" customWidth="1"/>
    <col min="13065" max="13065" width="12.83203125" style="1" bestFit="1" customWidth="1"/>
    <col min="13066" max="13066" width="11" style="1" bestFit="1" customWidth="1"/>
    <col min="13067" max="13067" width="10.58203125" style="1" bestFit="1" customWidth="1"/>
    <col min="13068" max="13314" width="9" style="1" customWidth="1"/>
    <col min="13315" max="13315" width="3.83203125" style="1" customWidth="1"/>
    <col min="13316" max="13316" width="29.33203125" style="1" customWidth="1"/>
    <col min="13317" max="13317" width="23" style="1" customWidth="1"/>
    <col min="13318" max="13318" width="23.08203125" style="1" customWidth="1"/>
    <col min="13319" max="13319" width="33" style="1" customWidth="1"/>
    <col min="13320" max="13320" width="7.08203125" style="1" customWidth="1"/>
    <col min="13321" max="13321" width="12.83203125" style="1" bestFit="1" customWidth="1"/>
    <col min="13322" max="13322" width="11" style="1" bestFit="1" customWidth="1"/>
    <col min="13323" max="13323" width="10.58203125" style="1" bestFit="1" customWidth="1"/>
    <col min="13324" max="13570" width="9" style="1" customWidth="1"/>
    <col min="13571" max="13571" width="3.83203125" style="1" customWidth="1"/>
    <col min="13572" max="13572" width="29.33203125" style="1" customWidth="1"/>
    <col min="13573" max="13573" width="23" style="1" customWidth="1"/>
    <col min="13574" max="13574" width="23.08203125" style="1" customWidth="1"/>
    <col min="13575" max="13575" width="33" style="1" customWidth="1"/>
    <col min="13576" max="13576" width="7.08203125" style="1" customWidth="1"/>
    <col min="13577" max="13577" width="12.83203125" style="1" bestFit="1" customWidth="1"/>
    <col min="13578" max="13578" width="11" style="1" bestFit="1" customWidth="1"/>
    <col min="13579" max="13579" width="10.58203125" style="1" bestFit="1" customWidth="1"/>
    <col min="13580" max="13826" width="9" style="1" customWidth="1"/>
    <col min="13827" max="13827" width="3.83203125" style="1" customWidth="1"/>
    <col min="13828" max="13828" width="29.33203125" style="1" customWidth="1"/>
    <col min="13829" max="13829" width="23" style="1" customWidth="1"/>
    <col min="13830" max="13830" width="23.08203125" style="1" customWidth="1"/>
    <col min="13831" max="13831" width="33" style="1" customWidth="1"/>
    <col min="13832" max="13832" width="7.08203125" style="1" customWidth="1"/>
    <col min="13833" max="13833" width="12.83203125" style="1" bestFit="1" customWidth="1"/>
    <col min="13834" max="13834" width="11" style="1" bestFit="1" customWidth="1"/>
    <col min="13835" max="13835" width="10.58203125" style="1" bestFit="1" customWidth="1"/>
    <col min="13836" max="14082" width="9" style="1" customWidth="1"/>
    <col min="14083" max="14083" width="3.83203125" style="1" customWidth="1"/>
    <col min="14084" max="14084" width="29.33203125" style="1" customWidth="1"/>
    <col min="14085" max="14085" width="23" style="1" customWidth="1"/>
    <col min="14086" max="14086" width="23.08203125" style="1" customWidth="1"/>
    <col min="14087" max="14087" width="33" style="1" customWidth="1"/>
    <col min="14088" max="14088" width="7.08203125" style="1" customWidth="1"/>
    <col min="14089" max="14089" width="12.83203125" style="1" bestFit="1" customWidth="1"/>
    <col min="14090" max="14090" width="11" style="1" bestFit="1" customWidth="1"/>
    <col min="14091" max="14091" width="10.58203125" style="1" bestFit="1" customWidth="1"/>
    <col min="14092" max="14338" width="9" style="1" customWidth="1"/>
    <col min="14339" max="14339" width="3.83203125" style="1" customWidth="1"/>
    <col min="14340" max="14340" width="29.33203125" style="1" customWidth="1"/>
    <col min="14341" max="14341" width="23" style="1" customWidth="1"/>
    <col min="14342" max="14342" width="23.08203125" style="1" customWidth="1"/>
    <col min="14343" max="14343" width="33" style="1" customWidth="1"/>
    <col min="14344" max="14344" width="7.08203125" style="1" customWidth="1"/>
    <col min="14345" max="14345" width="12.83203125" style="1" bestFit="1" customWidth="1"/>
    <col min="14346" max="14346" width="11" style="1" bestFit="1" customWidth="1"/>
    <col min="14347" max="14347" width="10.58203125" style="1" bestFit="1" customWidth="1"/>
    <col min="14348" max="14594" width="9" style="1" customWidth="1"/>
    <col min="14595" max="14595" width="3.83203125" style="1" customWidth="1"/>
    <col min="14596" max="14596" width="29.33203125" style="1" customWidth="1"/>
    <col min="14597" max="14597" width="23" style="1" customWidth="1"/>
    <col min="14598" max="14598" width="23.08203125" style="1" customWidth="1"/>
    <col min="14599" max="14599" width="33" style="1" customWidth="1"/>
    <col min="14600" max="14600" width="7.08203125" style="1" customWidth="1"/>
    <col min="14601" max="14601" width="12.83203125" style="1" bestFit="1" customWidth="1"/>
    <col min="14602" max="14602" width="11" style="1" bestFit="1" customWidth="1"/>
    <col min="14603" max="14603" width="10.58203125" style="1" bestFit="1" customWidth="1"/>
    <col min="14604" max="14850" width="9" style="1" customWidth="1"/>
    <col min="14851" max="14851" width="3.83203125" style="1" customWidth="1"/>
    <col min="14852" max="14852" width="29.33203125" style="1" customWidth="1"/>
    <col min="14853" max="14853" width="23" style="1" customWidth="1"/>
    <col min="14854" max="14854" width="23.08203125" style="1" customWidth="1"/>
    <col min="14855" max="14855" width="33" style="1" customWidth="1"/>
    <col min="14856" max="14856" width="7.08203125" style="1" customWidth="1"/>
    <col min="14857" max="14857" width="12.83203125" style="1" bestFit="1" customWidth="1"/>
    <col min="14858" max="14858" width="11" style="1" bestFit="1" customWidth="1"/>
    <col min="14859" max="14859" width="10.58203125" style="1" bestFit="1" customWidth="1"/>
    <col min="14860" max="15106" width="9" style="1" customWidth="1"/>
    <col min="15107" max="15107" width="3.83203125" style="1" customWidth="1"/>
    <col min="15108" max="15108" width="29.33203125" style="1" customWidth="1"/>
    <col min="15109" max="15109" width="23" style="1" customWidth="1"/>
    <col min="15110" max="15110" width="23.08203125" style="1" customWidth="1"/>
    <col min="15111" max="15111" width="33" style="1" customWidth="1"/>
    <col min="15112" max="15112" width="7.08203125" style="1" customWidth="1"/>
    <col min="15113" max="15113" width="12.83203125" style="1" bestFit="1" customWidth="1"/>
    <col min="15114" max="15114" width="11" style="1" bestFit="1" customWidth="1"/>
    <col min="15115" max="15115" width="10.58203125" style="1" bestFit="1" customWidth="1"/>
    <col min="15116" max="15362" width="9" style="1" customWidth="1"/>
    <col min="15363" max="15363" width="3.83203125" style="1" customWidth="1"/>
    <col min="15364" max="15364" width="29.33203125" style="1" customWidth="1"/>
    <col min="15365" max="15365" width="23" style="1" customWidth="1"/>
    <col min="15366" max="15366" width="23.08203125" style="1" customWidth="1"/>
    <col min="15367" max="15367" width="33" style="1" customWidth="1"/>
    <col min="15368" max="15368" width="7.08203125" style="1" customWidth="1"/>
    <col min="15369" max="15369" width="12.83203125" style="1" bestFit="1" customWidth="1"/>
    <col min="15370" max="15370" width="11" style="1" bestFit="1" customWidth="1"/>
    <col min="15371" max="15371" width="10.58203125" style="1" bestFit="1" customWidth="1"/>
    <col min="15372" max="15618" width="9" style="1" customWidth="1"/>
    <col min="15619" max="15619" width="3.83203125" style="1" customWidth="1"/>
    <col min="15620" max="15620" width="29.33203125" style="1" customWidth="1"/>
    <col min="15621" max="15621" width="23" style="1" customWidth="1"/>
    <col min="15622" max="15622" width="23.08203125" style="1" customWidth="1"/>
    <col min="15623" max="15623" width="33" style="1" customWidth="1"/>
    <col min="15624" max="15624" width="7.08203125" style="1" customWidth="1"/>
    <col min="15625" max="15625" width="12.83203125" style="1" bestFit="1" customWidth="1"/>
    <col min="15626" max="15626" width="11" style="1" bestFit="1" customWidth="1"/>
    <col min="15627" max="15627" width="10.58203125" style="1" bestFit="1" customWidth="1"/>
    <col min="15628" max="15874" width="9" style="1" customWidth="1"/>
    <col min="15875" max="15875" width="3.83203125" style="1" customWidth="1"/>
    <col min="15876" max="15876" width="29.33203125" style="1" customWidth="1"/>
    <col min="15877" max="15877" width="23" style="1" customWidth="1"/>
    <col min="15878" max="15878" width="23.08203125" style="1" customWidth="1"/>
    <col min="15879" max="15879" width="33" style="1" customWidth="1"/>
    <col min="15880" max="15880" width="7.08203125" style="1" customWidth="1"/>
    <col min="15881" max="15881" width="12.83203125" style="1" bestFit="1" customWidth="1"/>
    <col min="15882" max="15882" width="11" style="1" bestFit="1" customWidth="1"/>
    <col min="15883" max="15883" width="10.58203125" style="1" bestFit="1" customWidth="1"/>
    <col min="15884" max="16130" width="9" style="1" customWidth="1"/>
    <col min="16131" max="16131" width="3.83203125" style="1" customWidth="1"/>
    <col min="16132" max="16132" width="29.33203125" style="1" customWidth="1"/>
    <col min="16133" max="16133" width="23" style="1" customWidth="1"/>
    <col min="16134" max="16134" width="23.08203125" style="1" customWidth="1"/>
    <col min="16135" max="16135" width="33" style="1" customWidth="1"/>
    <col min="16136" max="16136" width="7.08203125" style="1" customWidth="1"/>
    <col min="16137" max="16137" width="12.83203125" style="1" bestFit="1" customWidth="1"/>
    <col min="16138" max="16138" width="11" style="1" bestFit="1" customWidth="1"/>
    <col min="16139" max="16139" width="10.58203125" style="1" bestFit="1" customWidth="1"/>
    <col min="16140" max="16384" width="9" style="1" customWidth="1"/>
  </cols>
  <sheetData>
    <row r="1" spans="1:7" ht="20.149999999999999" customHeight="1">
      <c r="A1" s="17"/>
      <c r="B1" s="17"/>
      <c r="C1" s="18"/>
      <c r="D1" s="17"/>
      <c r="E1" s="17"/>
      <c r="F1" s="17"/>
    </row>
    <row r="2" spans="1:7" ht="20.149999999999999" customHeight="1">
      <c r="A2" s="17"/>
      <c r="B2" s="17"/>
      <c r="C2" s="18"/>
      <c r="D2" s="17"/>
      <c r="E2" s="17"/>
      <c r="F2" s="46" t="s">
        <v>0</v>
      </c>
      <c r="G2" s="12"/>
    </row>
    <row r="3" spans="1:7" ht="20.149999999999999" customHeight="1">
      <c r="A3" s="17"/>
      <c r="B3" s="17"/>
      <c r="C3" s="18"/>
      <c r="D3" s="47"/>
      <c r="E3" s="47"/>
      <c r="F3" s="48"/>
      <c r="G3" s="9"/>
    </row>
    <row r="4" spans="1:7" ht="20.149999999999999" customHeight="1">
      <c r="A4" s="17"/>
      <c r="B4" s="17"/>
      <c r="C4" s="18"/>
      <c r="D4" s="47"/>
      <c r="E4" s="47"/>
      <c r="F4" s="49" t="s">
        <v>1</v>
      </c>
      <c r="G4" s="11"/>
    </row>
    <row r="5" spans="1:7" ht="20.149999999999999" customHeight="1">
      <c r="A5" s="17"/>
      <c r="B5" s="17"/>
      <c r="C5" s="18"/>
      <c r="D5" s="47"/>
      <c r="E5" s="47"/>
      <c r="F5" s="50" t="s">
        <v>2</v>
      </c>
      <c r="G5" s="10"/>
    </row>
    <row r="6" spans="1:7" ht="20.149999999999999" customHeight="1">
      <c r="A6" s="17"/>
      <c r="B6" s="17"/>
      <c r="C6" s="18"/>
      <c r="D6" s="47"/>
      <c r="E6" s="47"/>
      <c r="F6" s="48" t="s">
        <v>3</v>
      </c>
      <c r="G6" s="9"/>
    </row>
    <row r="7" spans="1:7" ht="20.149999999999999" customHeight="1">
      <c r="A7" s="17"/>
      <c r="B7" s="17"/>
      <c r="C7" s="18"/>
      <c r="D7" s="47"/>
      <c r="E7" s="47"/>
      <c r="F7" s="18"/>
      <c r="G7" s="2"/>
    </row>
    <row r="8" spans="1:7" ht="20.149999999999999" customHeight="1">
      <c r="A8" s="17"/>
      <c r="B8" s="17"/>
      <c r="C8" s="18"/>
      <c r="D8" s="47"/>
      <c r="E8" s="47"/>
      <c r="F8" s="18"/>
      <c r="G8" s="2"/>
    </row>
    <row r="9" spans="1:7" ht="20.149999999999999" customHeight="1">
      <c r="A9" s="17"/>
      <c r="B9" s="15" t="s">
        <v>4</v>
      </c>
      <c r="C9" s="16"/>
      <c r="D9" s="17"/>
      <c r="E9" s="17"/>
      <c r="F9" s="18"/>
      <c r="G9" s="2"/>
    </row>
    <row r="10" spans="1:7" ht="20.149999999999999" customHeight="1">
      <c r="A10" s="17"/>
      <c r="B10" s="15" t="s">
        <v>5</v>
      </c>
      <c r="C10" s="16"/>
      <c r="D10" s="17"/>
      <c r="E10" s="17"/>
      <c r="F10" s="18"/>
      <c r="G10" s="2"/>
    </row>
    <row r="11" spans="1:7" ht="20.149999999999999" customHeight="1">
      <c r="A11" s="17"/>
      <c r="B11" s="19"/>
      <c r="C11" s="16"/>
      <c r="D11" s="17"/>
      <c r="E11" s="17"/>
      <c r="F11" s="17"/>
    </row>
    <row r="12" spans="1:7" ht="18" customHeight="1">
      <c r="A12" s="17"/>
      <c r="B12" s="53" t="s">
        <v>6</v>
      </c>
      <c r="C12" s="54"/>
      <c r="D12" s="55"/>
      <c r="E12" s="17"/>
      <c r="F12" s="17"/>
    </row>
    <row r="13" spans="1:7" ht="20.149999999999999" customHeight="1">
      <c r="A13" s="17"/>
      <c r="B13" s="19"/>
      <c r="C13" s="16"/>
      <c r="D13" s="17"/>
      <c r="E13" s="17"/>
      <c r="F13" s="17"/>
    </row>
    <row r="14" spans="1:7" ht="20.149999999999999" customHeight="1">
      <c r="A14" s="17"/>
      <c r="B14" s="17" t="s">
        <v>7</v>
      </c>
      <c r="C14" s="18"/>
      <c r="D14" s="17"/>
      <c r="E14" s="17"/>
      <c r="F14" s="17"/>
    </row>
    <row r="15" spans="1:7" ht="20.149999999999999" customHeight="1">
      <c r="A15" s="17"/>
      <c r="B15" s="17" t="s">
        <v>8</v>
      </c>
      <c r="C15" s="18"/>
      <c r="D15" s="17"/>
      <c r="E15" s="17"/>
      <c r="F15" s="17"/>
    </row>
    <row r="16" spans="1:7" ht="20.149999999999999" customHeight="1">
      <c r="A16" s="17"/>
      <c r="B16" s="17"/>
      <c r="C16" s="18"/>
      <c r="D16" s="17"/>
      <c r="E16" s="17"/>
      <c r="F16" s="17"/>
    </row>
    <row r="17" spans="1:8" ht="20.149999999999999" customHeight="1">
      <c r="A17" s="17"/>
      <c r="B17" s="17" t="s">
        <v>9</v>
      </c>
      <c r="C17" s="17" t="s">
        <v>10</v>
      </c>
      <c r="D17" s="17"/>
      <c r="E17" s="17"/>
      <c r="F17" s="18"/>
      <c r="G17" s="2"/>
    </row>
    <row r="18" spans="1:8" ht="20.149999999999999" customHeight="1">
      <c r="A18" s="17"/>
      <c r="B18" s="17" t="s">
        <v>11</v>
      </c>
      <c r="C18" s="17" t="s">
        <v>12</v>
      </c>
      <c r="D18" s="17"/>
      <c r="E18" s="17"/>
      <c r="F18" s="17"/>
    </row>
    <row r="19" spans="1:8" ht="20.149999999999999" customHeight="1">
      <c r="A19" s="17"/>
      <c r="B19" s="17" t="s">
        <v>13</v>
      </c>
      <c r="C19" s="61" t="s">
        <v>14</v>
      </c>
      <c r="D19" s="62"/>
      <c r="E19" s="62"/>
      <c r="F19" s="62"/>
      <c r="G19" s="8"/>
    </row>
    <row r="20" spans="1:8" ht="20.149999999999999" customHeight="1">
      <c r="A20" s="17"/>
      <c r="B20" s="17" t="s">
        <v>15</v>
      </c>
      <c r="C20" s="17" t="s">
        <v>16</v>
      </c>
      <c r="D20" s="17"/>
      <c r="E20" s="17"/>
      <c r="F20" s="17"/>
    </row>
    <row r="21" spans="1:8" ht="20.149999999999999" customHeight="1" thickBot="1">
      <c r="A21" s="17"/>
      <c r="B21" s="20"/>
      <c r="C21" s="21"/>
      <c r="D21" s="19"/>
      <c r="E21" s="22"/>
      <c r="F21" s="23" t="s">
        <v>17</v>
      </c>
      <c r="G21" s="2"/>
    </row>
    <row r="22" spans="1:8" ht="24" customHeight="1" thickBot="1">
      <c r="A22" s="17"/>
      <c r="B22" s="24" t="s">
        <v>18</v>
      </c>
      <c r="C22" s="24" t="s">
        <v>19</v>
      </c>
      <c r="D22" s="24" t="s">
        <v>20</v>
      </c>
      <c r="E22" s="24" t="s">
        <v>21</v>
      </c>
      <c r="F22" s="24" t="s">
        <v>22</v>
      </c>
      <c r="G22" s="13"/>
    </row>
    <row r="23" spans="1:8" ht="24" customHeight="1" thickBot="1">
      <c r="A23" s="17"/>
      <c r="B23" s="25" t="s">
        <v>23</v>
      </c>
      <c r="C23" s="26">
        <v>450</v>
      </c>
      <c r="D23" s="27">
        <v>1</v>
      </c>
      <c r="E23" s="26">
        <f t="shared" ref="E23:E30" si="0">ROUND(C23*D23,2)</f>
        <v>450</v>
      </c>
      <c r="F23" s="28" t="s">
        <v>24</v>
      </c>
      <c r="G23" s="6"/>
    </row>
    <row r="24" spans="1:8" ht="24" customHeight="1" thickBot="1">
      <c r="A24" s="17"/>
      <c r="B24" s="29" t="s">
        <v>25</v>
      </c>
      <c r="C24" s="56">
        <v>120</v>
      </c>
      <c r="D24" s="31">
        <v>1</v>
      </c>
      <c r="E24" s="56">
        <f t="shared" si="0"/>
        <v>120</v>
      </c>
      <c r="F24" s="28" t="s">
        <v>26</v>
      </c>
      <c r="G24" s="6"/>
    </row>
    <row r="25" spans="1:8" ht="24" customHeight="1" thickBot="1">
      <c r="A25" s="17"/>
      <c r="B25" s="29" t="s">
        <v>27</v>
      </c>
      <c r="C25" s="56">
        <v>130</v>
      </c>
      <c r="D25" s="31">
        <v>1</v>
      </c>
      <c r="E25" s="56">
        <f t="shared" si="0"/>
        <v>130</v>
      </c>
      <c r="F25" s="28" t="s">
        <v>26</v>
      </c>
      <c r="G25" s="6"/>
      <c r="H25" s="7"/>
    </row>
    <row r="26" spans="1:8" ht="24" customHeight="1" thickBot="1">
      <c r="A26" s="17"/>
      <c r="B26" s="32" t="s">
        <v>28</v>
      </c>
      <c r="C26" s="56">
        <v>30</v>
      </c>
      <c r="D26" s="31">
        <v>1</v>
      </c>
      <c r="E26" s="56">
        <f t="shared" si="0"/>
        <v>30</v>
      </c>
      <c r="F26" s="28" t="s">
        <v>29</v>
      </c>
      <c r="G26" s="6"/>
      <c r="H26" s="7"/>
    </row>
    <row r="27" spans="1:8" ht="24" customHeight="1" thickBot="1">
      <c r="A27" s="17"/>
      <c r="B27" s="32" t="s">
        <v>30</v>
      </c>
      <c r="C27" s="57">
        <v>30</v>
      </c>
      <c r="D27" s="31">
        <v>1</v>
      </c>
      <c r="E27" s="56">
        <f t="shared" si="0"/>
        <v>30</v>
      </c>
      <c r="F27" s="28" t="s">
        <v>29</v>
      </c>
      <c r="G27" s="6"/>
      <c r="H27" s="7"/>
    </row>
    <row r="28" spans="1:8" ht="24" customHeight="1" thickBot="1">
      <c r="A28" s="17"/>
      <c r="B28" s="32" t="s">
        <v>31</v>
      </c>
      <c r="C28" s="57">
        <v>50</v>
      </c>
      <c r="D28" s="31">
        <v>1</v>
      </c>
      <c r="E28" s="56">
        <f t="shared" si="0"/>
        <v>50</v>
      </c>
      <c r="F28" s="28" t="s">
        <v>29</v>
      </c>
      <c r="G28" s="6"/>
      <c r="H28" s="7"/>
    </row>
    <row r="29" spans="1:8" ht="24" customHeight="1" thickBot="1">
      <c r="A29" s="17"/>
      <c r="B29" s="32" t="s">
        <v>32</v>
      </c>
      <c r="C29" s="57">
        <v>30</v>
      </c>
      <c r="D29" s="31">
        <v>1</v>
      </c>
      <c r="E29" s="56">
        <f t="shared" si="0"/>
        <v>30</v>
      </c>
      <c r="F29" s="28" t="s">
        <v>33</v>
      </c>
      <c r="G29" s="6"/>
      <c r="H29" s="7"/>
    </row>
    <row r="30" spans="1:8" ht="24" customHeight="1" thickBot="1">
      <c r="A30" s="17"/>
      <c r="B30" s="32" t="s">
        <v>34</v>
      </c>
      <c r="C30" s="57">
        <v>50</v>
      </c>
      <c r="D30" s="31">
        <v>1</v>
      </c>
      <c r="E30" s="56">
        <f t="shared" si="0"/>
        <v>50</v>
      </c>
      <c r="F30" s="28" t="s">
        <v>26</v>
      </c>
      <c r="G30" s="6"/>
      <c r="H30" s="7"/>
    </row>
    <row r="31" spans="1:8" ht="24" hidden="1" customHeight="1" thickBot="1">
      <c r="A31" s="17"/>
      <c r="B31" s="32"/>
      <c r="C31" s="33"/>
      <c r="D31" s="31"/>
      <c r="E31" s="30"/>
      <c r="F31" s="28"/>
      <c r="G31" s="6"/>
      <c r="H31" s="7"/>
    </row>
    <row r="32" spans="1:8" ht="24" hidden="1" customHeight="1" thickBot="1">
      <c r="A32" s="17"/>
      <c r="B32" s="32"/>
      <c r="C32" s="33"/>
      <c r="D32" s="34"/>
      <c r="E32" s="35"/>
      <c r="F32" s="28"/>
      <c r="G32" s="6"/>
      <c r="H32" s="7"/>
    </row>
    <row r="33" spans="1:8" ht="24" hidden="1" customHeight="1" thickBot="1">
      <c r="A33" s="17"/>
      <c r="B33" s="32"/>
      <c r="C33" s="33"/>
      <c r="D33" s="34"/>
      <c r="E33" s="34"/>
      <c r="F33" s="28"/>
      <c r="G33" s="6"/>
      <c r="H33" s="7"/>
    </row>
    <row r="34" spans="1:8" ht="24" hidden="1" customHeight="1" thickBot="1">
      <c r="A34" s="17"/>
      <c r="B34" s="32"/>
      <c r="C34" s="33"/>
      <c r="D34" s="34"/>
      <c r="E34" s="34"/>
      <c r="F34" s="28"/>
      <c r="G34" s="6"/>
      <c r="H34" s="7"/>
    </row>
    <row r="35" spans="1:8" ht="24" customHeight="1" thickBot="1">
      <c r="A35" s="17"/>
      <c r="B35" s="36" t="s">
        <v>35</v>
      </c>
      <c r="C35" s="63">
        <f>SUM(E23:E34)</f>
        <v>890</v>
      </c>
      <c r="D35" s="64"/>
      <c r="E35" s="65"/>
      <c r="F35" s="37" t="s">
        <v>36</v>
      </c>
      <c r="G35" s="14"/>
      <c r="H35" s="7"/>
    </row>
    <row r="36" spans="1:8" ht="20.149999999999999" customHeight="1">
      <c r="A36" s="17"/>
      <c r="B36" s="44"/>
      <c r="C36" s="44"/>
      <c r="D36" s="51"/>
      <c r="E36" s="51"/>
      <c r="F36" s="45"/>
      <c r="G36" s="6"/>
    </row>
    <row r="37" spans="1:8" ht="20.149999999999999" customHeight="1">
      <c r="A37" s="17"/>
      <c r="B37" s="44"/>
      <c r="C37" s="44"/>
      <c r="D37" s="51"/>
      <c r="E37" s="51"/>
      <c r="F37" s="45"/>
      <c r="G37" s="6"/>
    </row>
    <row r="38" spans="1:8" ht="20.149999999999999" customHeight="1">
      <c r="A38" s="17"/>
      <c r="B38" s="38" t="s">
        <v>37</v>
      </c>
      <c r="C38" s="39"/>
      <c r="D38" s="17"/>
      <c r="E38" s="17"/>
      <c r="F38" s="40"/>
      <c r="G38" s="5"/>
    </row>
    <row r="39" spans="1:8" ht="20.149999999999999" customHeight="1">
      <c r="A39" s="17"/>
      <c r="B39" s="58" t="s">
        <v>38</v>
      </c>
      <c r="C39" s="39"/>
      <c r="D39" s="17"/>
      <c r="E39" s="17"/>
      <c r="F39" s="40"/>
      <c r="G39" s="5"/>
    </row>
    <row r="40" spans="1:8" s="3" customFormat="1" ht="20.149999999999999" customHeight="1">
      <c r="A40" s="42"/>
      <c r="B40" s="58" t="s">
        <v>39</v>
      </c>
      <c r="C40" s="41"/>
      <c r="D40" s="42"/>
      <c r="E40" s="42"/>
      <c r="F40" s="43"/>
      <c r="G40" s="4"/>
    </row>
    <row r="41" spans="1:8" ht="20.149999999999999" customHeight="1">
      <c r="A41" s="17"/>
      <c r="B41" s="58" t="s">
        <v>40</v>
      </c>
      <c r="C41" s="18"/>
      <c r="D41" s="17"/>
      <c r="E41" s="17"/>
      <c r="F41" s="17"/>
    </row>
    <row r="42" spans="1:8" ht="20.149999999999999" customHeight="1">
      <c r="A42" s="17"/>
      <c r="B42" s="59" t="s">
        <v>41</v>
      </c>
      <c r="C42" s="18"/>
      <c r="D42" s="17"/>
      <c r="E42" s="17"/>
      <c r="F42" s="17"/>
    </row>
    <row r="43" spans="1:8" ht="20.149999999999999" customHeight="1">
      <c r="A43" s="17"/>
      <c r="B43" s="58" t="s">
        <v>42</v>
      </c>
      <c r="C43" s="18"/>
      <c r="D43" s="17"/>
      <c r="E43" s="17"/>
      <c r="F43" s="17"/>
    </row>
    <row r="44" spans="1:8" ht="20.149999999999999" customHeight="1">
      <c r="A44" s="17"/>
      <c r="B44" s="58" t="s">
        <v>43</v>
      </c>
      <c r="C44" s="18"/>
      <c r="D44" s="17"/>
      <c r="E44" s="17"/>
      <c r="F44" s="17"/>
    </row>
    <row r="45" spans="1:8" ht="20.149999999999999" customHeight="1">
      <c r="A45" s="17"/>
      <c r="B45" s="58" t="s">
        <v>44</v>
      </c>
      <c r="C45" s="18"/>
      <c r="D45" s="17"/>
      <c r="E45" s="17"/>
      <c r="F45" s="17"/>
    </row>
    <row r="46" spans="1:8" ht="20.149999999999999" customHeight="1">
      <c r="A46" s="17"/>
      <c r="B46" s="58" t="s">
        <v>45</v>
      </c>
      <c r="C46" s="18"/>
      <c r="D46" s="17"/>
      <c r="E46" s="17"/>
      <c r="F46" s="17"/>
    </row>
    <row r="47" spans="1:8" ht="20.149999999999999" customHeight="1">
      <c r="A47" s="17"/>
      <c r="B47" s="58" t="s">
        <v>46</v>
      </c>
      <c r="C47" s="18"/>
      <c r="D47" s="17"/>
      <c r="E47" s="17"/>
      <c r="F47" s="17"/>
    </row>
    <row r="48" spans="1:8" ht="20.149999999999999" customHeight="1">
      <c r="A48" s="17"/>
      <c r="B48" s="17" t="s">
        <v>47</v>
      </c>
      <c r="C48" s="18"/>
      <c r="D48" s="17"/>
      <c r="E48" s="17"/>
      <c r="F48" s="17"/>
    </row>
    <row r="49" spans="6:7" ht="84" customHeight="1">
      <c r="F49" s="2" t="s">
        <v>48</v>
      </c>
      <c r="G49" s="2"/>
    </row>
  </sheetData>
  <mergeCells count="2">
    <mergeCell ref="C19:F19"/>
    <mergeCell ref="C35:E35"/>
  </mergeCells>
  <phoneticPr fontId="3" type="noConversion"/>
  <printOptions horizontalCentered="1" verticalCentered="1"/>
  <pageMargins left="0.7" right="0.7" top="0.75" bottom="0.75" header="0.3" footer="0.3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"/>
  <sheetViews>
    <sheetView workbookViewId="0">
      <pane ySplit="13" topLeftCell="A14" activePane="bottomLeft" state="frozen"/>
      <selection pane="bottomLeft"/>
    </sheetView>
  </sheetViews>
  <sheetFormatPr defaultRowHeight="17"/>
  <cols>
    <col min="1" max="1" width="32" style="52" customWidth="1"/>
    <col min="2" max="2" width="30" style="52" customWidth="1"/>
    <col min="3" max="3" width="22" style="52" customWidth="1"/>
    <col min="4" max="4" width="12" style="52" customWidth="1"/>
    <col min="5" max="5" width="16" style="52" customWidth="1"/>
    <col min="6" max="6" width="10" style="52" customWidth="1"/>
    <col min="7" max="7" width="16" style="52" customWidth="1"/>
    <col min="8" max="8" width="42" style="52" customWidth="1"/>
  </cols>
  <sheetData>
    <row r="1" spans="1:8">
      <c r="A1" t="s">
        <v>49</v>
      </c>
    </row>
    <row r="2" spans="1:8">
      <c r="A2" t="s">
        <v>50</v>
      </c>
      <c r="B2" t="s">
        <v>51</v>
      </c>
      <c r="C2" t="s">
        <v>52</v>
      </c>
    </row>
    <row r="3" spans="1:8">
      <c r="A3" t="s">
        <v>53</v>
      </c>
      <c r="B3" t="s">
        <v>54</v>
      </c>
    </row>
    <row r="4" spans="1:8">
      <c r="A4" t="s">
        <v>55</v>
      </c>
      <c r="B4" t="s">
        <v>56</v>
      </c>
    </row>
    <row r="5" spans="1:8">
      <c r="A5" t="s">
        <v>57</v>
      </c>
      <c r="B5" t="s">
        <v>58</v>
      </c>
      <c r="C5" t="s">
        <v>59</v>
      </c>
    </row>
    <row r="6" spans="1:8">
      <c r="A6" t="s">
        <v>60</v>
      </c>
      <c r="B6" t="s">
        <v>61</v>
      </c>
    </row>
    <row r="7" spans="1:8">
      <c r="A7" t="s">
        <v>62</v>
      </c>
      <c r="B7" t="s">
        <v>63</v>
      </c>
    </row>
    <row r="8" spans="1:8">
      <c r="A8" t="s">
        <v>64</v>
      </c>
      <c r="B8">
        <v>15000</v>
      </c>
    </row>
    <row r="9" spans="1:8">
      <c r="A9" t="s">
        <v>65</v>
      </c>
      <c r="B9" t="s">
        <v>66</v>
      </c>
    </row>
    <row r="10" spans="1:8">
      <c r="A10" t="s">
        <v>67</v>
      </c>
      <c r="B10" t="s">
        <v>68</v>
      </c>
    </row>
    <row r="11" spans="1:8">
      <c r="A11" t="s">
        <v>69</v>
      </c>
      <c r="B11">
        <v>1</v>
      </c>
    </row>
    <row r="13" spans="1:8">
      <c r="A13" s="60" t="s">
        <v>70</v>
      </c>
      <c r="B13" s="60" t="s">
        <v>71</v>
      </c>
      <c r="C13" s="60" t="s">
        <v>72</v>
      </c>
      <c r="D13" s="60" t="s">
        <v>73</v>
      </c>
      <c r="E13" s="60" t="s">
        <v>74</v>
      </c>
      <c r="F13" s="60" t="s">
        <v>75</v>
      </c>
      <c r="G13" s="60" t="s">
        <v>76</v>
      </c>
      <c r="H13" s="60" t="s">
        <v>77</v>
      </c>
    </row>
    <row r="14" spans="1:8">
      <c r="A14" t="s">
        <v>78</v>
      </c>
      <c r="B14" t="s">
        <v>23</v>
      </c>
      <c r="C14" t="s">
        <v>79</v>
      </c>
      <c r="D14">
        <v>5</v>
      </c>
      <c r="E14">
        <v>450</v>
      </c>
      <c r="F14">
        <v>1</v>
      </c>
      <c r="G14">
        <v>450</v>
      </c>
      <c r="H14" t="s">
        <v>24</v>
      </c>
    </row>
    <row r="15" spans="1:8">
      <c r="A15" t="s">
        <v>80</v>
      </c>
      <c r="B15" t="s">
        <v>25</v>
      </c>
      <c r="C15" t="s">
        <v>81</v>
      </c>
      <c r="D15">
        <v>5</v>
      </c>
      <c r="E15">
        <v>120</v>
      </c>
      <c r="F15">
        <v>1</v>
      </c>
      <c r="G15">
        <v>120</v>
      </c>
      <c r="H15" t="s">
        <v>26</v>
      </c>
    </row>
    <row r="16" spans="1:8">
      <c r="A16" t="s">
        <v>82</v>
      </c>
      <c r="B16" t="s">
        <v>27</v>
      </c>
      <c r="C16" t="s">
        <v>81</v>
      </c>
      <c r="D16">
        <v>8</v>
      </c>
      <c r="E16">
        <v>130</v>
      </c>
      <c r="F16">
        <v>1</v>
      </c>
      <c r="G16">
        <v>130</v>
      </c>
      <c r="H16" t="s">
        <v>26</v>
      </c>
    </row>
    <row r="17" spans="1:8">
      <c r="A17" t="s">
        <v>83</v>
      </c>
      <c r="B17" t="s">
        <v>28</v>
      </c>
      <c r="C17" t="s">
        <v>81</v>
      </c>
      <c r="D17">
        <v>11</v>
      </c>
      <c r="E17">
        <v>30</v>
      </c>
      <c r="F17">
        <v>1</v>
      </c>
      <c r="G17">
        <v>30</v>
      </c>
      <c r="H17" t="s">
        <v>29</v>
      </c>
    </row>
    <row r="18" spans="1:8">
      <c r="A18" t="s">
        <v>84</v>
      </c>
      <c r="B18" t="s">
        <v>30</v>
      </c>
      <c r="C18" t="s">
        <v>81</v>
      </c>
      <c r="D18">
        <v>12</v>
      </c>
      <c r="E18">
        <v>30</v>
      </c>
      <c r="F18">
        <v>1</v>
      </c>
      <c r="G18">
        <v>30</v>
      </c>
      <c r="H18" t="s">
        <v>29</v>
      </c>
    </row>
    <row r="19" spans="1:8">
      <c r="A19" t="s">
        <v>85</v>
      </c>
      <c r="B19" t="s">
        <v>31</v>
      </c>
      <c r="C19" t="s">
        <v>81</v>
      </c>
      <c r="D19">
        <v>13</v>
      </c>
      <c r="E19">
        <v>50</v>
      </c>
      <c r="F19">
        <v>1</v>
      </c>
      <c r="G19">
        <v>50</v>
      </c>
      <c r="H19" t="s">
        <v>29</v>
      </c>
    </row>
    <row r="20" spans="1:8">
      <c r="A20" t="s">
        <v>86</v>
      </c>
      <c r="B20" t="s">
        <v>32</v>
      </c>
      <c r="C20" t="s">
        <v>81</v>
      </c>
      <c r="D20">
        <v>14</v>
      </c>
      <c r="E20">
        <v>30</v>
      </c>
      <c r="F20">
        <v>1</v>
      </c>
      <c r="G20">
        <v>30</v>
      </c>
      <c r="H20" t="s">
        <v>33</v>
      </c>
    </row>
    <row r="21" spans="1:8">
      <c r="A21" t="s">
        <v>87</v>
      </c>
      <c r="B21" t="s">
        <v>34</v>
      </c>
      <c r="C21" t="s">
        <v>81</v>
      </c>
      <c r="D21">
        <v>15</v>
      </c>
      <c r="E21">
        <v>50</v>
      </c>
      <c r="F21">
        <v>1</v>
      </c>
      <c r="G21">
        <v>50</v>
      </c>
      <c r="H21" t="s">
        <v>26</v>
      </c>
    </row>
    <row r="22" spans="1:8">
      <c r="A22" t="s">
        <v>88</v>
      </c>
      <c r="G22">
        <v>890</v>
      </c>
    </row>
  </sheetData>
  <phoneticPr fontId="3" type="noConversion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CIF 견적서 (FCL, 20')</vt:lpstr>
      <vt:lpstr>산출근거</vt:lpstr>
      <vt:lpstr>'CIF 견적서 (FCL, 20'')'!Print_Area</vt:lpstr>
      <vt:lpstr>산출근거!Print_Area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 우경</dc:creator>
  <cp:lastModifiedBy>서지민</cp:lastModifiedBy>
  <cp:lastPrinted>2026-09-21T04:38:28Z</cp:lastPrinted>
  <dcterms:created xsi:type="dcterms:W3CDTF">2026-08-04T05:21:50Z</dcterms:created>
  <dcterms:modified xsi:type="dcterms:W3CDTF">2026-10-02T05:36:18Z</dcterms:modified>
</cp:coreProperties>
</file>